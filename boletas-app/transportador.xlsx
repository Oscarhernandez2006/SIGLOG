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s\boletas-app\"/>
    </mc:Choice>
  </mc:AlternateContent>
  <bookViews>
    <workbookView xWindow="0" yWindow="0" windowWidth="23040" windowHeight="9072"/>
  </bookViews>
  <sheets>
    <sheet name="Hoja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2" i="1" l="1"/>
  <c r="I50" i="1"/>
  <c r="H50" i="1"/>
  <c r="G50" i="1"/>
  <c r="B50" i="1" s="1"/>
  <c r="F50" i="1"/>
  <c r="D50" i="1"/>
  <c r="A50" i="1"/>
  <c r="I49" i="1"/>
  <c r="H49" i="1"/>
  <c r="G49" i="1"/>
  <c r="B49" i="1" s="1"/>
  <c r="F49" i="1"/>
  <c r="D49" i="1"/>
  <c r="A49" i="1"/>
  <c r="I48" i="1"/>
  <c r="H48" i="1"/>
  <c r="G48" i="1"/>
  <c r="B48" i="1" s="1"/>
  <c r="F48" i="1"/>
  <c r="D48" i="1"/>
  <c r="A48" i="1"/>
  <c r="I47" i="1"/>
  <c r="H47" i="1"/>
  <c r="G47" i="1"/>
  <c r="B47" i="1" s="1"/>
  <c r="F47" i="1"/>
  <c r="D47" i="1"/>
  <c r="A47" i="1"/>
  <c r="I46" i="1"/>
  <c r="H46" i="1"/>
  <c r="G46" i="1"/>
  <c r="F46" i="1"/>
  <c r="D46" i="1"/>
  <c r="B46" i="1"/>
  <c r="A46" i="1"/>
  <c r="I45" i="1"/>
  <c r="H45" i="1"/>
  <c r="G45" i="1"/>
  <c r="B45" i="1" s="1"/>
  <c r="F45" i="1"/>
  <c r="D45" i="1"/>
  <c r="A45" i="1"/>
  <c r="I44" i="1"/>
  <c r="H44" i="1"/>
  <c r="G44" i="1"/>
  <c r="B44" i="1" s="1"/>
  <c r="F44" i="1"/>
  <c r="D44" i="1"/>
  <c r="A44" i="1"/>
  <c r="I43" i="1"/>
  <c r="H43" i="1"/>
  <c r="G43" i="1"/>
  <c r="B43" i="1" s="1"/>
  <c r="F43" i="1"/>
  <c r="D43" i="1"/>
  <c r="A43" i="1"/>
  <c r="I42" i="1"/>
  <c r="H42" i="1"/>
  <c r="G42" i="1"/>
  <c r="B42" i="1" s="1"/>
  <c r="F42" i="1"/>
  <c r="D42" i="1"/>
  <c r="A42" i="1"/>
  <c r="I41" i="1"/>
  <c r="H41" i="1"/>
  <c r="G41" i="1"/>
  <c r="B41" i="1" s="1"/>
  <c r="F41" i="1"/>
  <c r="D41" i="1"/>
  <c r="A41" i="1"/>
  <c r="I40" i="1"/>
  <c r="H40" i="1"/>
  <c r="G40" i="1"/>
  <c r="F40" i="1"/>
  <c r="D40" i="1"/>
  <c r="B40" i="1"/>
  <c r="A40" i="1"/>
  <c r="I39" i="1"/>
  <c r="H39" i="1"/>
  <c r="G39" i="1"/>
  <c r="B39" i="1" s="1"/>
  <c r="F39" i="1"/>
  <c r="D39" i="1"/>
  <c r="A39" i="1"/>
  <c r="I38" i="1"/>
  <c r="H38" i="1"/>
  <c r="G38" i="1"/>
  <c r="B38" i="1" s="1"/>
  <c r="F38" i="1"/>
  <c r="D38" i="1"/>
  <c r="A38" i="1"/>
  <c r="I37" i="1"/>
  <c r="H37" i="1"/>
  <c r="G37" i="1"/>
  <c r="B37" i="1" s="1"/>
  <c r="F37" i="1"/>
  <c r="D37" i="1"/>
  <c r="A37" i="1"/>
  <c r="I36" i="1"/>
  <c r="H36" i="1"/>
  <c r="G36" i="1"/>
  <c r="B36" i="1" s="1"/>
  <c r="F36" i="1"/>
  <c r="D36" i="1"/>
  <c r="A36" i="1"/>
  <c r="I35" i="1"/>
  <c r="H35" i="1"/>
  <c r="G35" i="1"/>
  <c r="B35" i="1" s="1"/>
  <c r="F35" i="1"/>
  <c r="D35" i="1"/>
  <c r="A35" i="1"/>
  <c r="I34" i="1"/>
  <c r="H34" i="1"/>
  <c r="G34" i="1"/>
  <c r="F34" i="1"/>
  <c r="D34" i="1"/>
  <c r="B34" i="1"/>
  <c r="A34" i="1"/>
  <c r="I33" i="1"/>
  <c r="H33" i="1"/>
  <c r="G33" i="1"/>
  <c r="B33" i="1" s="1"/>
  <c r="F33" i="1"/>
  <c r="D33" i="1"/>
  <c r="A33" i="1"/>
  <c r="I32" i="1"/>
  <c r="H32" i="1"/>
  <c r="G32" i="1"/>
  <c r="B32" i="1" s="1"/>
  <c r="F32" i="1"/>
  <c r="D32" i="1"/>
  <c r="A32" i="1"/>
  <c r="I31" i="1"/>
  <c r="H31" i="1"/>
  <c r="G31" i="1"/>
  <c r="F31" i="1"/>
  <c r="D31" i="1"/>
  <c r="B31" i="1"/>
  <c r="A31" i="1"/>
  <c r="I30" i="1"/>
  <c r="H30" i="1"/>
  <c r="G30" i="1"/>
  <c r="B30" i="1" s="1"/>
  <c r="F30" i="1"/>
  <c r="D30" i="1"/>
  <c r="A30" i="1"/>
  <c r="I29" i="1"/>
  <c r="H29" i="1"/>
  <c r="G29" i="1"/>
  <c r="B29" i="1" s="1"/>
  <c r="F29" i="1"/>
  <c r="D29" i="1"/>
  <c r="A29" i="1"/>
  <c r="I28" i="1"/>
  <c r="H28" i="1"/>
  <c r="G28" i="1"/>
  <c r="B28" i="1" s="1"/>
  <c r="F28" i="1"/>
  <c r="D28" i="1"/>
  <c r="A28" i="1"/>
  <c r="I27" i="1"/>
  <c r="H27" i="1"/>
  <c r="G27" i="1"/>
  <c r="B27" i="1" s="1"/>
  <c r="F27" i="1"/>
  <c r="D27" i="1"/>
  <c r="A27" i="1"/>
  <c r="I26" i="1"/>
  <c r="H26" i="1"/>
  <c r="G26" i="1"/>
  <c r="B26" i="1" s="1"/>
  <c r="F26" i="1"/>
  <c r="D26" i="1"/>
  <c r="A26" i="1"/>
  <c r="I25" i="1"/>
  <c r="H25" i="1"/>
  <c r="G25" i="1"/>
  <c r="F25" i="1"/>
  <c r="D25" i="1"/>
  <c r="B25" i="1"/>
  <c r="A25" i="1"/>
  <c r="I24" i="1"/>
  <c r="H24" i="1"/>
  <c r="G24" i="1"/>
  <c r="B24" i="1" s="1"/>
  <c r="F24" i="1"/>
  <c r="D24" i="1"/>
  <c r="A24" i="1"/>
  <c r="I23" i="1"/>
  <c r="H23" i="1"/>
  <c r="G23" i="1"/>
  <c r="B23" i="1" s="1"/>
  <c r="F23" i="1"/>
  <c r="D23" i="1"/>
  <c r="A23" i="1"/>
  <c r="I22" i="1"/>
  <c r="H22" i="1"/>
  <c r="G22" i="1"/>
  <c r="B22" i="1" s="1"/>
  <c r="F22" i="1"/>
  <c r="D22" i="1"/>
  <c r="A22" i="1"/>
  <c r="I21" i="1"/>
  <c r="H21" i="1"/>
  <c r="G21" i="1"/>
  <c r="B21" i="1" s="1"/>
  <c r="F21" i="1"/>
  <c r="D21" i="1"/>
  <c r="A21" i="1"/>
  <c r="I20" i="1"/>
  <c r="H20" i="1"/>
  <c r="G20" i="1"/>
  <c r="B20" i="1" s="1"/>
  <c r="F20" i="1"/>
  <c r="D20" i="1"/>
  <c r="A20" i="1"/>
  <c r="I19" i="1"/>
  <c r="H19" i="1"/>
  <c r="G19" i="1"/>
  <c r="F19" i="1"/>
  <c r="D19" i="1"/>
  <c r="B19" i="1"/>
  <c r="A19" i="1"/>
  <c r="I18" i="1"/>
  <c r="H18" i="1"/>
  <c r="G18" i="1"/>
  <c r="B18" i="1" s="1"/>
  <c r="F18" i="1"/>
  <c r="D18" i="1"/>
  <c r="A18" i="1"/>
  <c r="I17" i="1"/>
  <c r="H17" i="1"/>
  <c r="G17" i="1"/>
  <c r="B17" i="1" s="1"/>
  <c r="F17" i="1"/>
  <c r="D17" i="1"/>
  <c r="A17" i="1"/>
  <c r="I16" i="1"/>
  <c r="H16" i="1"/>
  <c r="G16" i="1"/>
  <c r="B16" i="1" s="1"/>
  <c r="F16" i="1"/>
  <c r="D16" i="1"/>
  <c r="A16" i="1"/>
  <c r="I15" i="1"/>
  <c r="H15" i="1"/>
  <c r="G15" i="1"/>
  <c r="B15" i="1" s="1"/>
  <c r="F15" i="1"/>
  <c r="D15" i="1"/>
  <c r="A15" i="1"/>
  <c r="I8" i="1"/>
  <c r="H8" i="1"/>
  <c r="G8" i="1"/>
  <c r="C8" i="1"/>
  <c r="A8" i="1"/>
  <c r="I4" i="1"/>
  <c r="G4" i="1"/>
  <c r="E4" i="1"/>
  <c r="I52" i="1" l="1"/>
</calcChain>
</file>

<file path=xl/sharedStrings.xml><?xml version="1.0" encoding="utf-8"?>
<sst xmlns="http://schemas.openxmlformats.org/spreadsheetml/2006/main" count="71" uniqueCount="64">
  <si>
    <t>PLANIFICACION DE DESPLAZAMIENTOS LABORALES</t>
  </si>
  <si>
    <t>*</t>
  </si>
  <si>
    <t>AGROPECUARIA SANTACRUZ</t>
  </si>
  <si>
    <t>Fecha de Despacho:</t>
  </si>
  <si>
    <t>Consecutivo No.</t>
  </si>
  <si>
    <t>PLACA</t>
  </si>
  <si>
    <t>NOMBRE DEL CONDUCTOR</t>
  </si>
  <si>
    <t>TELEFONO</t>
  </si>
  <si>
    <t>NOMBRE DEL AUXILIAR</t>
  </si>
  <si>
    <t>Inicio Cargue:</t>
  </si>
  <si>
    <t>Temp °C Inicio del Cargue:</t>
  </si>
  <si>
    <t>Kilómetros Inicial:</t>
  </si>
  <si>
    <t>Final Cargue:</t>
  </si>
  <si>
    <t>Temp °C Fin del Cargue:</t>
  </si>
  <si>
    <t>Kilómetros Retorno:</t>
  </si>
  <si>
    <t>PROCEDIMIENTO DE CONTROL Y RETORNO DE DOCUMENTOS</t>
  </si>
  <si>
    <r>
      <rPr>
        <b/>
        <sz val="10"/>
        <color theme="1"/>
        <rFont val="Calibri"/>
        <family val="2"/>
        <scheme val="minor"/>
      </rPr>
      <t>1-</t>
    </r>
    <r>
      <rPr>
        <sz val="10"/>
        <color theme="1"/>
        <rFont val="Calibri"/>
        <family val="2"/>
        <scheme val="minor"/>
      </rPr>
      <t xml:space="preserve">Antes de salir de Planta a ruta, revisar el numero total de
    documentos recibidos.
</t>
    </r>
    <r>
      <rPr>
        <b/>
        <sz val="10"/>
        <color theme="1"/>
        <rFont val="Calibri"/>
        <family val="2"/>
        <scheme val="minor"/>
      </rPr>
      <t>2-</t>
    </r>
    <r>
      <rPr>
        <sz val="10"/>
        <color theme="1"/>
        <rFont val="Calibri"/>
        <family val="2"/>
        <scheme val="minor"/>
      </rPr>
      <t>Al entregar en los PDV revisar que les devuelvan el total de
    documentos entregados, firmados y sellados.</t>
    </r>
  </si>
  <si>
    <r>
      <rPr>
        <b/>
        <sz val="9"/>
        <color theme="1"/>
        <rFont val="Calibri"/>
        <family val="2"/>
        <scheme val="minor"/>
      </rPr>
      <t>3-</t>
    </r>
    <r>
      <rPr>
        <sz val="9"/>
        <color theme="1"/>
        <rFont val="Calibri"/>
        <family val="2"/>
        <scheme val="minor"/>
      </rPr>
      <t xml:space="preserve">Si hay devolución se debe entregar al área indicada y hacer
    firmar la planilla de recibido del documento.
</t>
    </r>
    <r>
      <rPr>
        <b/>
        <sz val="9"/>
        <color theme="1"/>
        <rFont val="Calibri"/>
        <family val="2"/>
        <scheme val="minor"/>
      </rPr>
      <t>4-</t>
    </r>
    <r>
      <rPr>
        <sz val="9"/>
        <color theme="1"/>
        <rFont val="Calibri"/>
        <family val="2"/>
        <scheme val="minor"/>
      </rPr>
      <t>Los documentos se deben entregar en su totalidad a la persona
    encargada y mostrarle los que tienen dinero por cancelar.</t>
    </r>
  </si>
  <si>
    <t>No. DOCTO.</t>
  </si>
  <si>
    <t>CODIGO</t>
  </si>
  <si>
    <t>ÁREA</t>
  </si>
  <si>
    <t>NOMBRE DEL DESTINO</t>
  </si>
  <si>
    <t>DIRECCION</t>
  </si>
  <si>
    <t>KILOS</t>
  </si>
  <si>
    <t>TOTAL DOC/TOS:</t>
  </si>
  <si>
    <t>TOTAL KILOS</t>
  </si>
  <si>
    <t>RECOMEDACIONES EN RUTA</t>
  </si>
  <si>
    <t>EN VIAS DESTAPADAS Y CARRETEABLES</t>
  </si>
  <si>
    <t>EN ZONAS URBANAS</t>
  </si>
  <si>
    <r>
      <rPr>
        <b/>
        <sz val="10"/>
        <color theme="1"/>
        <rFont val="Calibri"/>
        <family val="2"/>
        <scheme val="minor"/>
      </rPr>
      <t>1.</t>
    </r>
    <r>
      <rPr>
        <sz val="10"/>
        <color theme="1"/>
        <rFont val="Calibri"/>
        <family val="2"/>
        <scheme val="minor"/>
      </rPr>
      <t xml:space="preserve"> No sobrepase la velocidad de 30 km/h
</t>
    </r>
    <r>
      <rPr>
        <b/>
        <sz val="10"/>
        <color theme="1"/>
        <rFont val="Calibri"/>
        <family val="2"/>
        <scheme val="minor"/>
      </rPr>
      <t xml:space="preserve">2. </t>
    </r>
    <r>
      <rPr>
        <sz val="10"/>
        <color theme="1"/>
        <rFont val="Calibri"/>
        <family val="2"/>
        <scheme val="minor"/>
      </rPr>
      <t xml:space="preserve">Evite adelantar vehículos ya que se reduce la visibilidad por el levantamiento
    de material particulado.
</t>
    </r>
    <r>
      <rPr>
        <b/>
        <sz val="10"/>
        <color theme="1"/>
        <rFont val="Calibri"/>
        <family val="2"/>
        <scheme val="minor"/>
      </rPr>
      <t>3.</t>
    </r>
    <r>
      <rPr>
        <sz val="10"/>
        <color theme="1"/>
        <rFont val="Calibri"/>
        <family val="2"/>
        <scheme val="minor"/>
      </rPr>
      <t xml:space="preserve"> No se orille demasiado puede encunetarse o volcarse.</t>
    </r>
  </si>
  <si>
    <r>
      <rPr>
        <b/>
        <sz val="10"/>
        <rFont val="Calibri"/>
        <family val="2"/>
        <scheme val="minor"/>
      </rPr>
      <t xml:space="preserve">1. </t>
    </r>
    <r>
      <rPr>
        <sz val="10"/>
        <rFont val="Calibri"/>
        <family val="2"/>
        <scheme val="minor"/>
      </rPr>
      <t xml:space="preserve">Reduzca la velocidad.
</t>
    </r>
    <r>
      <rPr>
        <b/>
        <sz val="10"/>
        <rFont val="Calibri"/>
        <family val="2"/>
        <scheme val="minor"/>
      </rPr>
      <t xml:space="preserve">2. </t>
    </r>
    <r>
      <rPr>
        <sz val="10"/>
        <rFont val="Calibri"/>
        <family val="2"/>
        <scheme val="minor"/>
      </rPr>
      <t xml:space="preserve">Respete los cruces peatonales y señales de tránsito.
</t>
    </r>
    <r>
      <rPr>
        <b/>
        <sz val="10"/>
        <rFont val="Calibri"/>
        <family val="2"/>
        <scheme val="minor"/>
      </rPr>
      <t xml:space="preserve">3. </t>
    </r>
    <r>
      <rPr>
        <sz val="10"/>
        <rFont val="Calibri"/>
        <family val="2"/>
        <scheme val="minor"/>
      </rPr>
      <t xml:space="preserve">Ceda el paso.
</t>
    </r>
    <r>
      <rPr>
        <b/>
        <sz val="10"/>
        <rFont val="Calibri"/>
        <family val="2"/>
        <scheme val="minor"/>
      </rPr>
      <t xml:space="preserve">4. </t>
    </r>
    <r>
      <rPr>
        <sz val="10"/>
        <rFont val="Calibri"/>
        <family val="2"/>
        <scheme val="minor"/>
      </rPr>
      <t xml:space="preserve">Utilice las señales luminosas y sonoras para avisar sus movimientos. 
</t>
    </r>
    <r>
      <rPr>
        <b/>
        <sz val="10"/>
        <rFont val="Calibri"/>
        <family val="2"/>
        <scheme val="minor"/>
      </rPr>
      <t xml:space="preserve">5. </t>
    </r>
    <r>
      <rPr>
        <sz val="10"/>
        <rFont val="Calibri"/>
        <family val="2"/>
        <scheme val="minor"/>
      </rPr>
      <t>No parquee en zona urbana.</t>
    </r>
  </si>
  <si>
    <t>EN VIAS NACIONALES</t>
  </si>
  <si>
    <t>EN PRESENCIA DE CURVA</t>
  </si>
  <si>
    <r>
      <rPr>
        <b/>
        <sz val="10"/>
        <color theme="1"/>
        <rFont val="Calibri"/>
        <family val="2"/>
        <scheme val="minor"/>
      </rPr>
      <t xml:space="preserve">1. </t>
    </r>
    <r>
      <rPr>
        <sz val="10"/>
        <color theme="1"/>
        <rFont val="Calibri"/>
        <family val="2"/>
        <scheme val="minor"/>
      </rPr>
      <t xml:space="preserve">Mantenga una mirada lejana para tener una vista panorámica.
</t>
    </r>
    <r>
      <rPr>
        <b/>
        <sz val="10"/>
        <color theme="1"/>
        <rFont val="Calibri"/>
        <family val="2"/>
        <scheme val="minor"/>
      </rPr>
      <t xml:space="preserve">2. </t>
    </r>
    <r>
      <rPr>
        <sz val="10"/>
        <color theme="1"/>
        <rFont val="Calibri"/>
        <family val="2"/>
        <scheme val="minor"/>
      </rPr>
      <t xml:space="preserve">Respete la velocidad recomendada en los diferentes tramos de la vía.
</t>
    </r>
    <r>
      <rPr>
        <b/>
        <sz val="10"/>
        <color theme="1"/>
        <rFont val="Calibri"/>
        <family val="2"/>
        <scheme val="minor"/>
      </rPr>
      <t xml:space="preserve">3. </t>
    </r>
    <r>
      <rPr>
        <sz val="10"/>
        <color theme="1"/>
        <rFont val="Calibri"/>
        <family val="2"/>
        <scheme val="minor"/>
      </rPr>
      <t xml:space="preserve">No se estacione en puentes. 
</t>
    </r>
    <r>
      <rPr>
        <b/>
        <sz val="10"/>
        <color theme="1"/>
        <rFont val="Calibri"/>
        <family val="2"/>
        <scheme val="minor"/>
      </rPr>
      <t xml:space="preserve">4. </t>
    </r>
    <r>
      <rPr>
        <sz val="10"/>
        <color theme="1"/>
        <rFont val="Calibri"/>
        <family val="2"/>
        <scheme val="minor"/>
      </rPr>
      <t xml:space="preserve">Mantenga una distancia mínima  de 25 mts con otros vehículos.
</t>
    </r>
    <r>
      <rPr>
        <b/>
        <sz val="10"/>
        <color theme="1"/>
        <rFont val="Calibri"/>
        <family val="2"/>
        <scheme val="minor"/>
      </rPr>
      <t xml:space="preserve">5. </t>
    </r>
    <r>
      <rPr>
        <sz val="10"/>
        <color theme="1"/>
        <rFont val="Calibri"/>
        <family val="2"/>
        <scheme val="minor"/>
      </rPr>
      <t xml:space="preserve">Mueva los ojos permanentemente para evitar dormirse.
</t>
    </r>
    <r>
      <rPr>
        <b/>
        <sz val="10"/>
        <color theme="1"/>
        <rFont val="Calibri"/>
        <family val="2"/>
        <scheme val="minor"/>
      </rPr>
      <t xml:space="preserve">6. </t>
    </r>
    <r>
      <rPr>
        <sz val="10"/>
        <color theme="1"/>
        <rFont val="Calibri"/>
        <family val="2"/>
        <scheme val="minor"/>
      </rPr>
      <t xml:space="preserve">Este atento a la salida e ingreso de vehículos.
</t>
    </r>
    <r>
      <rPr>
        <b/>
        <sz val="10"/>
        <color theme="1"/>
        <rFont val="Calibri"/>
        <family val="2"/>
        <scheme val="minor"/>
      </rPr>
      <t xml:space="preserve">7. </t>
    </r>
    <r>
      <rPr>
        <sz val="10"/>
        <color theme="1"/>
        <rFont val="Calibri"/>
        <family val="2"/>
        <scheme val="minor"/>
      </rPr>
      <t xml:space="preserve">Revise los espejos retrovisores.
</t>
    </r>
    <r>
      <rPr>
        <b/>
        <sz val="10"/>
        <color theme="1"/>
        <rFont val="Calibri"/>
        <family val="2"/>
        <scheme val="minor"/>
      </rPr>
      <t xml:space="preserve">8. </t>
    </r>
    <r>
      <rPr>
        <sz val="10"/>
        <color theme="1"/>
        <rFont val="Calibri"/>
        <family val="2"/>
        <scheme val="minor"/>
      </rPr>
      <t>Informe con anticipación sus intenciones de girar o adelantar.</t>
    </r>
  </si>
  <si>
    <r>
      <rPr>
        <b/>
        <sz val="10"/>
        <rFont val="Calibri"/>
        <family val="2"/>
        <scheme val="minor"/>
      </rPr>
      <t xml:space="preserve">1. </t>
    </r>
    <r>
      <rPr>
        <sz val="10"/>
        <rFont val="Calibri"/>
        <family val="2"/>
        <scheme val="minor"/>
      </rPr>
      <t xml:space="preserve">Reduzca la velocidad antes de tomar las curvas.
</t>
    </r>
    <r>
      <rPr>
        <b/>
        <sz val="10"/>
        <rFont val="Calibri"/>
        <family val="2"/>
        <scheme val="minor"/>
      </rPr>
      <t xml:space="preserve">2. </t>
    </r>
    <r>
      <rPr>
        <sz val="10"/>
        <rFont val="Calibri"/>
        <family val="2"/>
        <scheme val="minor"/>
      </rPr>
      <t xml:space="preserve">En descensos no recaliente los frenos utilice el freno de motor.
</t>
    </r>
    <r>
      <rPr>
        <b/>
        <sz val="10"/>
        <rFont val="Calibri"/>
        <family val="2"/>
        <scheme val="minor"/>
      </rPr>
      <t xml:space="preserve">3. </t>
    </r>
    <r>
      <rPr>
        <sz val="10"/>
        <rFont val="Calibri"/>
        <family val="2"/>
        <scheme val="minor"/>
      </rPr>
      <t xml:space="preserve">Procure no tomar las curvas ni tan abiertas, ni tan cerradas los grados de
    inclinación y el movimiento de los líquidos pueden causar volcamiento. 
</t>
    </r>
    <r>
      <rPr>
        <b/>
        <sz val="10"/>
        <rFont val="Calibri"/>
        <family val="2"/>
        <scheme val="minor"/>
      </rPr>
      <t xml:space="preserve">4. </t>
    </r>
    <r>
      <rPr>
        <sz val="10"/>
        <rFont val="Calibri"/>
        <family val="2"/>
        <scheme val="minor"/>
      </rPr>
      <t>No realice maniobras de adelantamiento.</t>
    </r>
  </si>
  <si>
    <t>VELOCIDADES SEGURAS DE DESPLAZAMIENTO</t>
  </si>
  <si>
    <t>PUNTOS CRITICOS DE LA RUTA</t>
  </si>
  <si>
    <t>VELOCIDADES</t>
  </si>
  <si>
    <t>DESCRIPCION DE LA VIA</t>
  </si>
  <si>
    <t>(deslizamientos, Orden Publico, trancones, entre otros)</t>
  </si>
  <si>
    <t>Máximo</t>
  </si>
  <si>
    <t>30 Km/h</t>
  </si>
  <si>
    <t>En vías destapadas</t>
  </si>
  <si>
    <t>80 Km/h</t>
  </si>
  <si>
    <t>En vías pavimentadas</t>
  </si>
  <si>
    <t>50 Km/h</t>
  </si>
  <si>
    <t>Áreas Urbanas</t>
  </si>
  <si>
    <t>20 Km/h</t>
  </si>
  <si>
    <t>Zona Escolar</t>
  </si>
  <si>
    <t>Descensos Peligrosos</t>
  </si>
  <si>
    <t>DIRECTORIO TELEFONICO EN CASO DE EMERGENCIA</t>
  </si>
  <si>
    <t>NOMBRE Y SELLO QUIEN DESPACHA</t>
  </si>
  <si>
    <t>ARL Sura - 01 8000 51 888</t>
  </si>
  <si>
    <t xml:space="preserve">     Policía Carreteras - 126</t>
  </si>
  <si>
    <t>Emergencias - 123</t>
  </si>
  <si>
    <t xml:space="preserve">     Policía  - 112</t>
  </si>
  <si>
    <t>Ambulancias - 125</t>
  </si>
  <si>
    <t xml:space="preserve">     Gaula -147</t>
  </si>
  <si>
    <t>Bombero  - 119</t>
  </si>
  <si>
    <t xml:space="preserve">     CAI - 156</t>
  </si>
  <si>
    <t>Confirmo la entrega completa de los PDV y las cantidades descritas en esta planilla la cual consolida el total de los documentos anexos, que fueron certificados al momento de la entrega.</t>
  </si>
  <si>
    <t>Defensa Civil - 144</t>
  </si>
  <si>
    <t xml:space="preserve">     Cruz Roja - 132</t>
  </si>
  <si>
    <r>
      <t xml:space="preserve">Todos los documentos descritos en esta planilla deben ser devueltos a </t>
    </r>
    <r>
      <rPr>
        <b/>
        <sz val="11"/>
        <color theme="1"/>
        <rFont val="Calibri"/>
        <family val="2"/>
        <scheme val="minor"/>
      </rPr>
      <t>Agropecuaria Santacruz Ltda.</t>
    </r>
    <r>
      <rPr>
        <sz val="11"/>
        <color theme="1"/>
        <rFont val="Calibri"/>
        <family val="2"/>
        <scheme val="minor"/>
      </rPr>
      <t xml:space="preserve"> para que estos a su vez cancelen los servicios causados por transporte y entrega de mercancía. La no devolución de los documentos o el no recibo de ellos ya sean porque no estén firmados y sellados por el cliente final que recibió, daño o deterioro de facturas, dará lugar a que no sea firmada y sellada la planilla del retorno y que los servicios de transporte, no sean cancelados por parte de </t>
    </r>
    <r>
      <rPr>
        <b/>
        <sz val="11"/>
        <color theme="1"/>
        <rFont val="Calibri"/>
        <family val="2"/>
        <scheme val="minor"/>
      </rPr>
      <t>Agropecuaria Santacruz Ltda.</t>
    </r>
    <r>
      <rPr>
        <sz val="11"/>
        <color theme="1"/>
        <rFont val="Calibri"/>
        <family val="2"/>
        <scheme val="minor"/>
      </rPr>
      <t xml:space="preserve">, hasta que la relación total se halla recibido.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</si>
</sst>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166" formatCode="00000"/>
    <numFmt numFmtId="167" formatCode="[$-F800]dddd\,\ mmmm\ dd\,\ yyyy"/>
    <numFmt numFmtId="169" formatCode="#,##0.00_ ;\-#,##0.00\ 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2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tted">
        <color indexed="64"/>
      </right>
      <top style="double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uble">
        <color auto="1"/>
      </top>
      <bottom/>
      <diagonal/>
    </border>
    <border>
      <left/>
      <right/>
      <top style="double">
        <color auto="1"/>
      </top>
      <bottom style="hair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/>
  </cellStyleXfs>
  <cellXfs count="109">
    <xf numFmtId="0" fontId="0" fillId="0" borderId="0" xfId="0"/>
    <xf numFmtId="0" fontId="4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 shrinkToFit="1"/>
    </xf>
    <xf numFmtId="0" fontId="6" fillId="0" borderId="0" xfId="2" applyFont="1" applyAlignment="1">
      <alignment horizontal="center" vertical="center" shrinkToFit="1"/>
    </xf>
    <xf numFmtId="0" fontId="1" fillId="0" borderId="0" xfId="2" applyFont="1" applyAlignment="1">
      <alignment horizontal="center" vertical="center" shrinkToFit="1"/>
    </xf>
    <xf numFmtId="166" fontId="4" fillId="0" borderId="0" xfId="2" applyNumberFormat="1" applyFont="1" applyAlignment="1">
      <alignment horizontal="center" vertical="center" shrinkToFit="1"/>
    </xf>
    <xf numFmtId="0" fontId="2" fillId="0" borderId="0" xfId="2" applyFont="1" applyAlignment="1">
      <alignment horizontal="center" vertical="center" shrinkToFit="1"/>
    </xf>
    <xf numFmtId="0" fontId="2" fillId="0" borderId="1" xfId="2" applyFont="1" applyBorder="1" applyAlignment="1">
      <alignment horizontal="center" vertical="center" shrinkToFit="1"/>
    </xf>
    <xf numFmtId="167" fontId="8" fillId="0" borderId="0" xfId="2" applyNumberFormat="1" applyFont="1" applyAlignment="1">
      <alignment horizontal="center" vertical="center" shrinkToFit="1"/>
    </xf>
    <xf numFmtId="0" fontId="8" fillId="0" borderId="0" xfId="2" applyFont="1" applyAlignment="1">
      <alignment horizontal="center" vertical="center" shrinkToFit="1"/>
    </xf>
    <xf numFmtId="0" fontId="9" fillId="0" borderId="0" xfId="2" applyFont="1" applyAlignment="1">
      <alignment horizontal="right" vertical="center" shrinkToFit="1"/>
    </xf>
    <xf numFmtId="166" fontId="10" fillId="0" borderId="0" xfId="2" applyNumberFormat="1" applyFont="1" applyAlignment="1">
      <alignment horizontal="center" vertical="center" shrinkToFit="1"/>
    </xf>
    <xf numFmtId="0" fontId="5" fillId="0" borderId="2" xfId="2" applyFont="1" applyBorder="1" applyAlignment="1">
      <alignment vertical="center" shrinkToFit="1"/>
    </xf>
    <xf numFmtId="0" fontId="5" fillId="0" borderId="0" xfId="2" applyFont="1" applyAlignment="1">
      <alignment vertical="center" shrinkToFit="1"/>
    </xf>
    <xf numFmtId="0" fontId="5" fillId="0" borderId="2" xfId="2" applyFont="1" applyBorder="1" applyAlignment="1">
      <alignment horizontal="right" vertical="center" shrinkToFit="1"/>
    </xf>
    <xf numFmtId="0" fontId="5" fillId="0" borderId="2" xfId="2" applyFont="1" applyBorder="1" applyAlignment="1">
      <alignment horizontal="center" vertical="center" shrinkToFit="1"/>
    </xf>
    <xf numFmtId="0" fontId="5" fillId="0" borderId="0" xfId="2" applyFont="1" applyAlignment="1">
      <alignment horizontal="right" vertical="center" shrinkToFit="1"/>
    </xf>
    <xf numFmtId="0" fontId="11" fillId="2" borderId="3" xfId="2" applyFont="1" applyFill="1" applyBorder="1" applyAlignment="1">
      <alignment horizontal="center" vertical="center"/>
    </xf>
    <xf numFmtId="0" fontId="11" fillId="2" borderId="4" xfId="2" applyFont="1" applyFill="1" applyBorder="1" applyAlignment="1">
      <alignment horizontal="center" vertical="center"/>
    </xf>
    <xf numFmtId="0" fontId="11" fillId="2" borderId="4" xfId="2" applyFont="1" applyFill="1" applyBorder="1" applyAlignment="1">
      <alignment horizontal="center" vertical="center"/>
    </xf>
    <xf numFmtId="0" fontId="11" fillId="2" borderId="5" xfId="2" applyFont="1" applyFill="1" applyBorder="1" applyAlignment="1">
      <alignment horizontal="center" vertical="center"/>
    </xf>
    <xf numFmtId="0" fontId="12" fillId="0" borderId="6" xfId="2" applyFont="1" applyBorder="1" applyAlignment="1">
      <alignment horizontal="center" vertical="center" shrinkToFit="1"/>
    </xf>
    <xf numFmtId="0" fontId="12" fillId="0" borderId="7" xfId="2" applyFont="1" applyBorder="1" applyAlignment="1">
      <alignment horizontal="center" vertical="center" shrinkToFit="1"/>
    </xf>
    <xf numFmtId="0" fontId="13" fillId="0" borderId="7" xfId="2" applyFont="1" applyBorder="1" applyAlignment="1">
      <alignment horizontal="center" vertical="center" shrinkToFit="1"/>
    </xf>
    <xf numFmtId="0" fontId="13" fillId="0" borderId="7" xfId="2" applyFont="1" applyBorder="1" applyAlignment="1">
      <alignment horizontal="center" vertical="center" shrinkToFit="1"/>
    </xf>
    <xf numFmtId="0" fontId="13" fillId="0" borderId="8" xfId="2" applyFont="1" applyBorder="1" applyAlignment="1">
      <alignment vertical="center" shrinkToFit="1"/>
    </xf>
    <xf numFmtId="0" fontId="5" fillId="2" borderId="3" xfId="2" applyFont="1" applyFill="1" applyBorder="1" applyAlignment="1">
      <alignment horizontal="right" vertical="center"/>
    </xf>
    <xf numFmtId="0" fontId="5" fillId="2" borderId="4" xfId="2" applyFont="1" applyFill="1" applyBorder="1" applyAlignment="1">
      <alignment horizontal="right" vertical="center"/>
    </xf>
    <xf numFmtId="0" fontId="5" fillId="0" borderId="4" xfId="2" applyFont="1" applyBorder="1" applyAlignment="1">
      <alignment vertical="center" shrinkToFit="1"/>
    </xf>
    <xf numFmtId="0" fontId="5" fillId="0" borderId="4" xfId="2" applyFont="1" applyBorder="1" applyAlignment="1">
      <alignment horizontal="center" vertical="center" shrinkToFit="1"/>
    </xf>
    <xf numFmtId="0" fontId="5" fillId="2" borderId="4" xfId="2" applyFont="1" applyFill="1" applyBorder="1" applyAlignment="1">
      <alignment horizontal="right" vertical="center" shrinkToFit="1"/>
    </xf>
    <xf numFmtId="0" fontId="12" fillId="0" borderId="4" xfId="2" applyFont="1" applyBorder="1" applyAlignment="1">
      <alignment horizontal="center" vertical="center" shrinkToFit="1"/>
    </xf>
    <xf numFmtId="0" fontId="5" fillId="0" borderId="5" xfId="2" applyFont="1" applyBorder="1" applyAlignment="1">
      <alignment vertical="center" shrinkToFit="1"/>
    </xf>
    <xf numFmtId="0" fontId="5" fillId="2" borderId="6" xfId="2" applyFont="1" applyFill="1" applyBorder="1" applyAlignment="1">
      <alignment horizontal="right" vertical="center"/>
    </xf>
    <xf numFmtId="0" fontId="5" fillId="2" borderId="7" xfId="2" applyFont="1" applyFill="1" applyBorder="1" applyAlignment="1">
      <alignment horizontal="right" vertical="center"/>
    </xf>
    <xf numFmtId="0" fontId="5" fillId="0" borderId="7" xfId="2" applyFont="1" applyBorder="1" applyAlignment="1">
      <alignment vertical="center" shrinkToFit="1"/>
    </xf>
    <xf numFmtId="0" fontId="5" fillId="0" borderId="7" xfId="2" applyFont="1" applyBorder="1" applyAlignment="1">
      <alignment horizontal="center" vertical="center" shrinkToFit="1"/>
    </xf>
    <xf numFmtId="0" fontId="5" fillId="2" borderId="9" xfId="2" applyFont="1" applyFill="1" applyBorder="1" applyAlignment="1">
      <alignment horizontal="right" vertical="center" shrinkToFit="1"/>
    </xf>
    <xf numFmtId="0" fontId="11" fillId="0" borderId="9" xfId="2" applyFont="1" applyBorder="1" applyAlignment="1">
      <alignment vertical="center"/>
    </xf>
    <xf numFmtId="0" fontId="5" fillId="2" borderId="7" xfId="2" applyFont="1" applyFill="1" applyBorder="1" applyAlignment="1">
      <alignment horizontal="right" vertical="center" shrinkToFit="1"/>
    </xf>
    <xf numFmtId="0" fontId="5" fillId="0" borderId="10" xfId="2" applyFont="1" applyBorder="1" applyAlignment="1">
      <alignment vertical="center" shrinkToFit="1"/>
    </xf>
    <xf numFmtId="0" fontId="5" fillId="0" borderId="0" xfId="2" applyFont="1" applyAlignment="1">
      <alignment horizontal="center" vertical="center"/>
    </xf>
    <xf numFmtId="0" fontId="11" fillId="0" borderId="0" xfId="2" applyFont="1" applyAlignment="1">
      <alignment vertical="center"/>
    </xf>
    <xf numFmtId="0" fontId="11" fillId="0" borderId="0" xfId="2" applyFont="1" applyAlignment="1">
      <alignment horizontal="center" vertical="center" wrapText="1" shrinkToFit="1"/>
    </xf>
    <xf numFmtId="0" fontId="11" fillId="0" borderId="1" xfId="2" applyFont="1" applyBorder="1" applyAlignment="1">
      <alignment vertical="center" shrinkToFit="1"/>
    </xf>
    <xf numFmtId="0" fontId="5" fillId="0" borderId="0" xfId="2" applyFont="1" applyAlignment="1">
      <alignment horizontal="left" vertical="center" wrapText="1"/>
    </xf>
    <xf numFmtId="0" fontId="14" fillId="0" borderId="0" xfId="2" applyFont="1" applyAlignment="1">
      <alignment horizontal="left" vertical="center" wrapText="1"/>
    </xf>
    <xf numFmtId="0" fontId="16" fillId="0" borderId="11" xfId="2" applyFont="1" applyBorder="1" applyAlignment="1">
      <alignment horizontal="center" vertical="center" shrinkToFit="1"/>
    </xf>
    <xf numFmtId="0" fontId="7" fillId="0" borderId="12" xfId="0" applyFont="1" applyBorder="1" applyAlignment="1">
      <alignment horizontal="right" vertical="center" shrinkToFit="1"/>
    </xf>
    <xf numFmtId="1" fontId="17" fillId="0" borderId="13" xfId="2" applyNumberFormat="1" applyFont="1" applyBorder="1" applyAlignment="1">
      <alignment horizontal="center" vertical="center" shrinkToFit="1"/>
    </xf>
    <xf numFmtId="0" fontId="7" fillId="0" borderId="0" xfId="2" applyFont="1" applyAlignment="1">
      <alignment vertical="center" shrinkToFit="1"/>
    </xf>
    <xf numFmtId="0" fontId="7" fillId="0" borderId="0" xfId="0" applyFont="1" applyAlignment="1">
      <alignment horizontal="center" vertical="center"/>
    </xf>
    <xf numFmtId="1" fontId="7" fillId="0" borderId="14" xfId="2" applyNumberFormat="1" applyFont="1" applyBorder="1" applyAlignment="1">
      <alignment horizontal="center" vertical="center" shrinkToFit="1"/>
    </xf>
    <xf numFmtId="4" fontId="17" fillId="0" borderId="0" xfId="2" applyNumberFormat="1" applyFont="1" applyAlignment="1">
      <alignment horizontal="left" vertical="center" shrinkToFit="1"/>
    </xf>
    <xf numFmtId="0" fontId="7" fillId="0" borderId="0" xfId="2" applyFont="1" applyAlignment="1">
      <alignment horizontal="left" vertical="center" shrinkToFit="1"/>
    </xf>
    <xf numFmtId="4" fontId="7" fillId="0" borderId="15" xfId="0" applyNumberFormat="1" applyFont="1" applyBorder="1" applyAlignment="1">
      <alignment vertical="center" shrinkToFit="1"/>
    </xf>
    <xf numFmtId="0" fontId="7" fillId="0" borderId="0" xfId="0" applyFont="1" applyAlignment="1">
      <alignment horizontal="right" vertical="center" shrinkToFit="1"/>
    </xf>
    <xf numFmtId="1" fontId="7" fillId="0" borderId="0" xfId="2" applyNumberFormat="1" applyFont="1" applyAlignment="1">
      <alignment horizontal="center" vertical="center" shrinkToFit="1"/>
    </xf>
    <xf numFmtId="0" fontId="17" fillId="0" borderId="0" xfId="2" applyFont="1" applyAlignment="1">
      <alignment horizontal="left" vertical="center" shrinkToFit="1"/>
    </xf>
    <xf numFmtId="4" fontId="7" fillId="0" borderId="0" xfId="2" applyNumberFormat="1" applyFont="1" applyAlignment="1">
      <alignment vertical="center" shrinkToFit="1"/>
    </xf>
    <xf numFmtId="4" fontId="7" fillId="0" borderId="16" xfId="0" applyNumberFormat="1" applyFont="1" applyBorder="1" applyAlignment="1">
      <alignment vertical="center" shrinkToFit="1"/>
    </xf>
    <xf numFmtId="0" fontId="11" fillId="2" borderId="13" xfId="2" applyFont="1" applyFill="1" applyBorder="1" applyAlignment="1">
      <alignment horizontal="center" vertical="center" shrinkToFit="1"/>
    </xf>
    <xf numFmtId="0" fontId="18" fillId="0" borderId="13" xfId="2" applyFont="1" applyBorder="1" applyAlignment="1">
      <alignment vertical="center"/>
    </xf>
    <xf numFmtId="0" fontId="18" fillId="0" borderId="13" xfId="2" applyFont="1" applyBorder="1" applyAlignment="1">
      <alignment horizontal="center" vertical="center"/>
    </xf>
    <xf numFmtId="0" fontId="2" fillId="0" borderId="0" xfId="2" applyFont="1" applyAlignment="1">
      <alignment horizontal="right" vertical="center" shrinkToFit="1"/>
    </xf>
    <xf numFmtId="169" fontId="6" fillId="0" borderId="11" xfId="1" applyNumberFormat="1" applyFont="1" applyBorder="1" applyAlignment="1" applyProtection="1">
      <alignment horizontal="right" vertical="center" shrinkToFit="1"/>
    </xf>
    <xf numFmtId="0" fontId="11" fillId="2" borderId="17" xfId="0" applyFont="1" applyFill="1" applyBorder="1" applyAlignment="1">
      <alignment horizontal="center" vertical="center" shrinkToFit="1"/>
    </xf>
    <xf numFmtId="0" fontId="11" fillId="2" borderId="16" xfId="0" applyFont="1" applyFill="1" applyBorder="1" applyAlignment="1">
      <alignment horizontal="center" vertical="center" shrinkToFit="1"/>
    </xf>
    <xf numFmtId="0" fontId="11" fillId="2" borderId="18" xfId="0" applyFont="1" applyFill="1" applyBorder="1" applyAlignment="1">
      <alignment horizontal="center" vertical="center" shrinkToFit="1"/>
    </xf>
    <xf numFmtId="0" fontId="19" fillId="2" borderId="17" xfId="2" applyFont="1" applyFill="1" applyBorder="1" applyAlignment="1">
      <alignment horizontal="center" vertical="center" shrinkToFit="1"/>
    </xf>
    <xf numFmtId="0" fontId="19" fillId="2" borderId="16" xfId="2" applyFont="1" applyFill="1" applyBorder="1" applyAlignment="1">
      <alignment horizontal="center" vertical="center" shrinkToFit="1"/>
    </xf>
    <xf numFmtId="0" fontId="19" fillId="2" borderId="18" xfId="2" applyFont="1" applyFill="1" applyBorder="1" applyAlignment="1">
      <alignment horizontal="center" vertical="center" shrinkToFit="1"/>
    </xf>
    <xf numFmtId="0" fontId="5" fillId="0" borderId="19" xfId="0" applyFont="1" applyBorder="1" applyAlignment="1">
      <alignment vertical="center" wrapText="1" shrinkToFit="1"/>
    </xf>
    <xf numFmtId="0" fontId="5" fillId="0" borderId="19" xfId="0" applyFont="1" applyBorder="1" applyAlignment="1">
      <alignment vertical="center" shrinkToFit="1"/>
    </xf>
    <xf numFmtId="0" fontId="20" fillId="0" borderId="19" xfId="2" applyFont="1" applyBorder="1" applyAlignment="1">
      <alignment horizontal="left" vertical="center" wrapText="1" shrinkToFit="1"/>
    </xf>
    <xf numFmtId="0" fontId="20" fillId="0" borderId="19" xfId="2" applyFont="1" applyBorder="1" applyAlignment="1">
      <alignment horizontal="left" vertical="center" shrinkToFit="1"/>
    </xf>
    <xf numFmtId="0" fontId="11" fillId="2" borderId="19" xfId="0" applyFont="1" applyFill="1" applyBorder="1" applyAlignment="1">
      <alignment horizontal="center" vertical="center" shrinkToFit="1"/>
    </xf>
    <xf numFmtId="0" fontId="19" fillId="2" borderId="19" xfId="2" applyFont="1" applyFill="1" applyBorder="1" applyAlignment="1">
      <alignment horizontal="center" vertical="center" shrinkToFit="1"/>
    </xf>
    <xf numFmtId="0" fontId="7" fillId="0" borderId="16" xfId="0" applyFont="1" applyBorder="1" applyAlignment="1">
      <alignment horizontal="center" vertical="center" shrinkToFit="1"/>
    </xf>
    <xf numFmtId="0" fontId="11" fillId="2" borderId="19" xfId="0" applyFont="1" applyFill="1" applyBorder="1" applyAlignment="1">
      <alignment horizontal="center" vertical="center" shrinkToFit="1"/>
    </xf>
    <xf numFmtId="0" fontId="5" fillId="2" borderId="17" xfId="0" applyFont="1" applyFill="1" applyBorder="1" applyAlignment="1">
      <alignment horizontal="center" vertical="center" shrinkToFit="1"/>
    </xf>
    <xf numFmtId="0" fontId="7" fillId="0" borderId="19" xfId="0" applyFont="1" applyBorder="1" applyAlignment="1">
      <alignment horizontal="center" vertical="center" shrinkToFit="1"/>
    </xf>
    <xf numFmtId="0" fontId="7" fillId="0" borderId="19" xfId="0" applyFont="1" applyBorder="1" applyAlignment="1">
      <alignment vertical="center" shrinkToFit="1"/>
    </xf>
    <xf numFmtId="0" fontId="7" fillId="0" borderId="19" xfId="0" applyFont="1" applyBorder="1" applyAlignment="1">
      <alignment horizontal="left" vertical="center" shrinkToFit="1"/>
    </xf>
    <xf numFmtId="0" fontId="17" fillId="0" borderId="17" xfId="2" applyFont="1" applyBorder="1" applyAlignment="1">
      <alignment horizontal="center" vertical="center" shrinkToFit="1"/>
    </xf>
    <xf numFmtId="0" fontId="17" fillId="0" borderId="16" xfId="2" applyFont="1" applyBorder="1" applyAlignment="1">
      <alignment horizontal="center" vertical="center" shrinkToFit="1"/>
    </xf>
    <xf numFmtId="0" fontId="17" fillId="0" borderId="18" xfId="2" applyFont="1" applyBorder="1" applyAlignment="1">
      <alignment horizontal="center" vertical="center" shrinkToFit="1"/>
    </xf>
    <xf numFmtId="0" fontId="7" fillId="0" borderId="20" xfId="0" applyFont="1" applyBorder="1" applyAlignment="1">
      <alignment horizontal="center" vertical="center" shrinkToFit="1"/>
    </xf>
    <xf numFmtId="0" fontId="11" fillId="2" borderId="0" xfId="0" applyFont="1" applyFill="1" applyAlignment="1">
      <alignment horizontal="center" vertical="center" shrinkToFit="1"/>
    </xf>
    <xf numFmtId="0" fontId="11" fillId="2" borderId="1" xfId="0" applyFont="1" applyFill="1" applyBorder="1" applyAlignment="1">
      <alignment horizontal="center" vertical="center" shrinkToFit="1"/>
    </xf>
    <xf numFmtId="0" fontId="11" fillId="2" borderId="10" xfId="2" applyFont="1" applyFill="1" applyBorder="1" applyAlignment="1">
      <alignment horizontal="center" vertical="center" shrinkToFit="1"/>
    </xf>
    <xf numFmtId="0" fontId="11" fillId="2" borderId="0" xfId="2" applyFont="1" applyFill="1" applyAlignment="1">
      <alignment horizontal="center" vertical="center" shrinkToFit="1"/>
    </xf>
    <xf numFmtId="0" fontId="7" fillId="0" borderId="18" xfId="0" applyFont="1" applyBorder="1" applyAlignment="1">
      <alignment horizontal="left" vertical="center" shrinkToFit="1"/>
    </xf>
    <xf numFmtId="0" fontId="7" fillId="0" borderId="19" xfId="0" applyFont="1" applyBorder="1" applyAlignment="1">
      <alignment horizontal="left" vertical="center" shrinkToFit="1"/>
    </xf>
    <xf numFmtId="0" fontId="7" fillId="0" borderId="19" xfId="2" applyFont="1" applyBorder="1" applyAlignment="1">
      <alignment vertical="center" shrinkToFit="1"/>
    </xf>
    <xf numFmtId="0" fontId="17" fillId="0" borderId="8" xfId="2" applyFont="1" applyBorder="1" applyAlignment="1">
      <alignment horizontal="center" vertical="center" shrinkToFit="1"/>
    </xf>
    <xf numFmtId="0" fontId="17" fillId="0" borderId="20" xfId="2" applyFont="1" applyBorder="1" applyAlignment="1">
      <alignment horizontal="center" vertical="center" shrinkToFit="1"/>
    </xf>
    <xf numFmtId="0" fontId="17" fillId="0" borderId="10" xfId="2" applyFont="1" applyBorder="1" applyAlignment="1">
      <alignment horizontal="center" vertical="center" shrinkToFit="1"/>
    </xf>
    <xf numFmtId="0" fontId="17" fillId="0" borderId="0" xfId="2" applyFont="1" applyAlignment="1">
      <alignment horizontal="center" vertical="center" shrinkToFit="1"/>
    </xf>
    <xf numFmtId="0" fontId="17" fillId="0" borderId="5" xfId="2" applyFont="1" applyBorder="1" applyAlignment="1">
      <alignment horizontal="center" vertical="center" shrinkToFit="1"/>
    </xf>
    <xf numFmtId="0" fontId="17" fillId="0" borderId="21" xfId="2" applyFont="1" applyBorder="1" applyAlignment="1">
      <alignment horizontal="center" vertical="center" shrinkToFit="1"/>
    </xf>
    <xf numFmtId="0" fontId="21" fillId="0" borderId="10" xfId="2" applyFont="1" applyBorder="1" applyAlignment="1">
      <alignment horizontal="center" vertical="center" wrapText="1" shrinkToFit="1"/>
    </xf>
    <xf numFmtId="0" fontId="21" fillId="0" borderId="0" xfId="2" applyFont="1" applyAlignment="1">
      <alignment horizontal="center" vertical="center" wrapText="1" shrinkToFit="1"/>
    </xf>
    <xf numFmtId="0" fontId="7" fillId="0" borderId="6" xfId="0" applyFont="1" applyBorder="1" applyAlignment="1">
      <alignment horizontal="left" vertical="center" shrinkToFit="1"/>
    </xf>
    <xf numFmtId="0" fontId="7" fillId="0" borderId="7" xfId="0" applyFont="1" applyBorder="1" applyAlignment="1">
      <alignment horizontal="left" vertical="center" shrinkToFit="1"/>
    </xf>
    <xf numFmtId="0" fontId="7" fillId="0" borderId="7" xfId="2" applyFont="1" applyBorder="1" applyAlignment="1">
      <alignment vertical="center" shrinkToFit="1"/>
    </xf>
    <xf numFmtId="1" fontId="7" fillId="0" borderId="0" xfId="2" applyNumberFormat="1" applyFont="1" applyAlignment="1">
      <alignment horizontal="center" vertical="center" shrinkToFit="1"/>
    </xf>
    <xf numFmtId="0" fontId="0" fillId="0" borderId="0" xfId="2" applyFont="1" applyAlignment="1">
      <alignment horizontal="center" vertical="center" wrapText="1"/>
    </xf>
    <xf numFmtId="0" fontId="1" fillId="0" borderId="0" xfId="2" applyFont="1" applyAlignment="1">
      <alignment horizontal="center" vertical="center" wrapText="1"/>
    </xf>
  </cellXfs>
  <cellStyles count="3">
    <cellStyle name="Moneda" xfId="1" builtinId="4"/>
    <cellStyle name="Normal" xfId="0" builtinId="0"/>
    <cellStyle name="Normal 2" xfId="2"/>
  </cellStyles>
  <dxfs count="3">
    <dxf>
      <numFmt numFmtId="165" formatCode="\R\-00000"/>
    </dxf>
    <dxf>
      <numFmt numFmtId="164" formatCode="\P\-00000"/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8466</xdr:colOff>
      <xdr:row>67</xdr:row>
      <xdr:rowOff>2</xdr:rowOff>
    </xdr:from>
    <xdr:to>
      <xdr:col>9</xdr:col>
      <xdr:colOff>0</xdr:colOff>
      <xdr:row>73</xdr:row>
      <xdr:rowOff>9525</xdr:rowOff>
    </xdr:to>
    <xdr:sp macro="" textlink="">
      <xdr:nvSpPr>
        <xdr:cNvPr id="2" name="Rectángulo redondeado 9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397086" y="14660882"/>
          <a:ext cx="9056430" cy="1152523"/>
        </a:xfrm>
        <a:prstGeom prst="roundRect">
          <a:avLst>
            <a:gd name="adj" fmla="val 8019"/>
          </a:avLst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0</xdr:col>
      <xdr:colOff>9525</xdr:colOff>
      <xdr:row>74</xdr:row>
      <xdr:rowOff>10585</xdr:rowOff>
    </xdr:from>
    <xdr:to>
      <xdr:col>9</xdr:col>
      <xdr:colOff>0</xdr:colOff>
      <xdr:row>75</xdr:row>
      <xdr:rowOff>0</xdr:rowOff>
    </xdr:to>
    <xdr:sp macro="" textlink="">
      <xdr:nvSpPr>
        <xdr:cNvPr id="3" name="Rectángulo redondeado 5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8145" y="15875425"/>
          <a:ext cx="9055946" cy="751415"/>
        </a:xfrm>
        <a:prstGeom prst="roundRect">
          <a:avLst>
            <a:gd name="adj" fmla="val 11362"/>
          </a:avLst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0</xdr:col>
      <xdr:colOff>3705</xdr:colOff>
      <xdr:row>0</xdr:row>
      <xdr:rowOff>10584</xdr:rowOff>
    </xdr:from>
    <xdr:to>
      <xdr:col>9</xdr:col>
      <xdr:colOff>0</xdr:colOff>
      <xdr:row>2</xdr:row>
      <xdr:rowOff>0</xdr:rowOff>
    </xdr:to>
    <xdr:sp macro="" textlink="">
      <xdr:nvSpPr>
        <xdr:cNvPr id="4" name="Rectángulo redondeado 8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392325" y="10584"/>
          <a:ext cx="9060030" cy="599016"/>
        </a:xfrm>
        <a:prstGeom prst="roundRect">
          <a:avLst>
            <a:gd name="adj" fmla="val 7756"/>
          </a:avLst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0</xdr:col>
      <xdr:colOff>10585</xdr:colOff>
      <xdr:row>3</xdr:row>
      <xdr:rowOff>1</xdr:rowOff>
    </xdr:from>
    <xdr:to>
      <xdr:col>6</xdr:col>
      <xdr:colOff>9526</xdr:colOff>
      <xdr:row>4</xdr:row>
      <xdr:rowOff>8468</xdr:rowOff>
    </xdr:to>
    <xdr:sp macro="" textlink="">
      <xdr:nvSpPr>
        <xdr:cNvPr id="5" name="Rectángulo redondeado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399205" y="670561"/>
          <a:ext cx="4433781" cy="313267"/>
        </a:xfrm>
        <a:prstGeom prst="roundRect">
          <a:avLst>
            <a:gd name="adj" fmla="val 19811"/>
          </a:avLst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8</xdr:col>
      <xdr:colOff>0</xdr:colOff>
      <xdr:row>2</xdr:row>
      <xdr:rowOff>43392</xdr:rowOff>
    </xdr:from>
    <xdr:to>
      <xdr:col>9</xdr:col>
      <xdr:colOff>0</xdr:colOff>
      <xdr:row>4</xdr:row>
      <xdr:rowOff>11376</xdr:rowOff>
    </xdr:to>
    <xdr:sp macro="" textlink="">
      <xdr:nvSpPr>
        <xdr:cNvPr id="6" name="Rectángulo redondeado 8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8442960" y="652992"/>
          <a:ext cx="1007693" cy="333744"/>
        </a:xfrm>
        <a:prstGeom prst="roundRect">
          <a:avLst>
            <a:gd name="adj" fmla="val 19620"/>
          </a:avLst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0</xdr:col>
      <xdr:colOff>4754</xdr:colOff>
      <xdr:row>5</xdr:row>
      <xdr:rowOff>57149</xdr:rowOff>
    </xdr:from>
    <xdr:to>
      <xdr:col>9</xdr:col>
      <xdr:colOff>0</xdr:colOff>
      <xdr:row>7</xdr:row>
      <xdr:rowOff>331724</xdr:rowOff>
    </xdr:to>
    <xdr:sp macro="" textlink="">
      <xdr:nvSpPr>
        <xdr:cNvPr id="7" name="Rectángulo redondeado 5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393374" y="1093469"/>
          <a:ext cx="9060179" cy="526035"/>
        </a:xfrm>
        <a:prstGeom prst="roundRect">
          <a:avLst>
            <a:gd name="adj" fmla="val 12884"/>
          </a:avLst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6</xdr:col>
      <xdr:colOff>0</xdr:colOff>
      <xdr:row>3</xdr:row>
      <xdr:rowOff>0</xdr:rowOff>
    </xdr:from>
    <xdr:to>
      <xdr:col>6</xdr:col>
      <xdr:colOff>973667</xdr:colOff>
      <xdr:row>4</xdr:row>
      <xdr:rowOff>8467</xdr:rowOff>
    </xdr:to>
    <xdr:sp macro="" textlink="">
      <xdr:nvSpPr>
        <xdr:cNvPr id="8" name="Rectángulo redondeado 5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4823460" y="670560"/>
          <a:ext cx="973667" cy="313267"/>
        </a:xfrm>
        <a:prstGeom prst="roundRect">
          <a:avLst>
            <a:gd name="adj" fmla="val 19811"/>
          </a:avLst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0</xdr:col>
      <xdr:colOff>4828</xdr:colOff>
      <xdr:row>11</xdr:row>
      <xdr:rowOff>0</xdr:rowOff>
    </xdr:from>
    <xdr:to>
      <xdr:col>9</xdr:col>
      <xdr:colOff>0</xdr:colOff>
      <xdr:row>12</xdr:row>
      <xdr:rowOff>0</xdr:rowOff>
    </xdr:to>
    <xdr:sp macro="" textlink="">
      <xdr:nvSpPr>
        <xdr:cNvPr id="9" name="Rectángulo redondeado 8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393448" y="2080260"/>
          <a:ext cx="9060030" cy="632460"/>
        </a:xfrm>
        <a:prstGeom prst="roundRect">
          <a:avLst>
            <a:gd name="adj" fmla="val 7835"/>
          </a:avLst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0</xdr:col>
      <xdr:colOff>4754</xdr:colOff>
      <xdr:row>8</xdr:row>
      <xdr:rowOff>9525</xdr:rowOff>
    </xdr:from>
    <xdr:to>
      <xdr:col>9</xdr:col>
      <xdr:colOff>0</xdr:colOff>
      <xdr:row>10</xdr:row>
      <xdr:rowOff>0</xdr:rowOff>
    </xdr:to>
    <xdr:sp macro="" textlink="">
      <xdr:nvSpPr>
        <xdr:cNvPr id="10" name="Rectángulo redondeado 5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393374" y="1632585"/>
          <a:ext cx="9060179" cy="386715"/>
        </a:xfrm>
        <a:prstGeom prst="roundRect">
          <a:avLst>
            <a:gd name="adj" fmla="val 12884"/>
          </a:avLst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oneCellAnchor>
    <xdr:from>
      <xdr:col>0</xdr:col>
      <xdr:colOff>142874</xdr:colOff>
      <xdr:row>0</xdr:row>
      <xdr:rowOff>76200</xdr:rowOff>
    </xdr:from>
    <xdr:ext cx="715451" cy="468000"/>
    <xdr:pic>
      <xdr:nvPicPr>
        <xdr:cNvPr id="11" name="Imagen 10" descr="https://lh5.googleusercontent.com/iv_uIEnzKzNRqOA_tOo1gQHAqxM-2OCjTR7ovao3qTBtv2m2kHws5XPXFqfqcBS3rU2r1IKVQfZA7zULdeMCYz61SDQKzAZBvi2mRJCumWN1oT1aVzy5AD24oCtqafoPuQzL4Q3n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t="37923" r="918" b="32353"/>
        <a:stretch/>
      </xdr:blipFill>
      <xdr:spPr bwMode="auto">
        <a:xfrm>
          <a:off x="531494" y="76200"/>
          <a:ext cx="715451" cy="46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209549</xdr:colOff>
      <xdr:row>0</xdr:row>
      <xdr:rowOff>66675</xdr:rowOff>
    </xdr:from>
    <xdr:ext cx="555940" cy="468000"/>
    <xdr:pic>
      <xdr:nvPicPr>
        <xdr:cNvPr id="12" name="Imagen 11" descr="https://lh5.googleusercontent.com/iv_uIEnzKzNRqOA_tOo1gQHAqxM-2OCjTR7ovao3qTBtv2m2kHws5XPXFqfqcBS3rU2r1IKVQfZA7zULdeMCYz61SDQKzAZBvi2mRJCumWN1oT1aVzy5AD24oCtqafoPuQzL4Q3n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1394"/>
        <a:stretch/>
      </xdr:blipFill>
      <xdr:spPr bwMode="auto">
        <a:xfrm>
          <a:off x="8652509" y="66675"/>
          <a:ext cx="555940" cy="46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s/Desktop/carlos/run%20errands/AAA-Planilla%20Despacho%20Vehiculo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tero"/>
      <sheetName val="RuteroImp"/>
      <sheetName val="Transportador"/>
      <sheetName val="Facturas"/>
      <sheetName val="BD"/>
    </sheetNames>
    <sheetDataSet>
      <sheetData sheetId="0">
        <row r="4">
          <cell r="L4" t="str">
            <v>R6- MONTERIA -SINCELEJO</v>
          </cell>
        </row>
        <row r="8">
          <cell r="F8" t="str">
            <v>GDY-204</v>
          </cell>
          <cell r="L8" t="str">
            <v>301-7121289</v>
          </cell>
        </row>
        <row r="13">
          <cell r="G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>-</v>
          </cell>
        </row>
        <row r="14">
          <cell r="G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>-</v>
          </cell>
        </row>
        <row r="15">
          <cell r="G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>-</v>
          </cell>
        </row>
        <row r="16">
          <cell r="G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>-</v>
          </cell>
        </row>
        <row r="17">
          <cell r="G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>-</v>
          </cell>
        </row>
        <row r="18">
          <cell r="G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>-</v>
          </cell>
        </row>
        <row r="19">
          <cell r="G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>-</v>
          </cell>
        </row>
        <row r="20">
          <cell r="G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>-</v>
          </cell>
        </row>
        <row r="21">
          <cell r="G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>-</v>
          </cell>
        </row>
        <row r="22">
          <cell r="G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>-</v>
          </cell>
        </row>
        <row r="23">
          <cell r="G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>-</v>
          </cell>
        </row>
        <row r="24">
          <cell r="G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>-</v>
          </cell>
        </row>
        <row r="25">
          <cell r="G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>-</v>
          </cell>
        </row>
        <row r="26">
          <cell r="G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>-</v>
          </cell>
        </row>
        <row r="27">
          <cell r="G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>-</v>
          </cell>
        </row>
        <row r="28">
          <cell r="G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>-</v>
          </cell>
        </row>
        <row r="29">
          <cell r="G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>-</v>
          </cell>
        </row>
        <row r="30">
          <cell r="G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>-</v>
          </cell>
        </row>
        <row r="31">
          <cell r="G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>-</v>
          </cell>
        </row>
        <row r="32">
          <cell r="G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>-</v>
          </cell>
        </row>
        <row r="33">
          <cell r="G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>-</v>
          </cell>
        </row>
        <row r="34">
          <cell r="G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>-</v>
          </cell>
        </row>
        <row r="35">
          <cell r="G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>-</v>
          </cell>
        </row>
        <row r="36">
          <cell r="G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 xml:space="preserve">                                                                                                                                                                 </v>
          </cell>
        </row>
        <row r="37">
          <cell r="G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>-</v>
          </cell>
        </row>
        <row r="38">
          <cell r="G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>-</v>
          </cell>
        </row>
        <row r="39">
          <cell r="G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>-</v>
          </cell>
        </row>
        <row r="40">
          <cell r="G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>-</v>
          </cell>
        </row>
        <row r="41">
          <cell r="G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>-</v>
          </cell>
        </row>
        <row r="42">
          <cell r="G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>-</v>
          </cell>
        </row>
        <row r="43">
          <cell r="G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>-</v>
          </cell>
        </row>
        <row r="44">
          <cell r="G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>-</v>
          </cell>
        </row>
        <row r="45">
          <cell r="G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>-</v>
          </cell>
        </row>
        <row r="46">
          <cell r="G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>-</v>
          </cell>
        </row>
        <row r="47">
          <cell r="G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>-</v>
          </cell>
        </row>
        <row r="48">
          <cell r="G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>-</v>
          </cell>
        </row>
        <row r="50">
          <cell r="F50" t="str">
            <v>TOTAL PEDIDOS: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7"/>
  <sheetViews>
    <sheetView tabSelected="1" topLeftCell="A37" workbookViewId="0">
      <selection activeCell="J1" sqref="J1:J1048576"/>
    </sheetView>
  </sheetViews>
  <sheetFormatPr baseColWidth="10" defaultRowHeight="14.4"/>
  <sheetData>
    <row r="1" spans="1:9" ht="32.4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9.8">
      <c r="A2" s="3" t="s">
        <v>2</v>
      </c>
      <c r="B2" s="3"/>
      <c r="C2" s="3"/>
      <c r="D2" s="3"/>
      <c r="E2" s="3"/>
      <c r="F2" s="3"/>
      <c r="G2" s="3"/>
      <c r="H2" s="3"/>
      <c r="I2" s="3"/>
    </row>
    <row r="3" spans="1:9" ht="32.4">
      <c r="A3" s="4"/>
      <c r="B3" s="4"/>
      <c r="C3" s="4"/>
      <c r="D3" s="4"/>
      <c r="E3" s="4"/>
      <c r="F3" s="4"/>
      <c r="G3" s="4"/>
      <c r="H3" s="4"/>
      <c r="I3" s="5"/>
    </row>
    <row r="4" spans="1:9" ht="25.8">
      <c r="A4" s="6" t="s">
        <v>3</v>
      </c>
      <c r="B4" s="6"/>
      <c r="C4" s="6"/>
      <c r="D4" s="7"/>
      <c r="E4" s="8">
        <f>[1]Rutero!G4</f>
        <v>0</v>
      </c>
      <c r="F4" s="8"/>
      <c r="G4" s="9">
        <f>[1]Rutero!J4</f>
        <v>0</v>
      </c>
      <c r="H4" s="10" t="s">
        <v>4</v>
      </c>
      <c r="I4" s="11" t="str">
        <f>[1]Rutero!L4</f>
        <v>R6- MONTERIA -SINCELEJO</v>
      </c>
    </row>
    <row r="5" spans="1:9" ht="15" thickBot="1">
      <c r="A5" s="12"/>
      <c r="B5" s="12"/>
      <c r="C5" s="13"/>
      <c r="D5" s="14"/>
      <c r="E5" s="14"/>
      <c r="F5" s="15"/>
      <c r="G5" s="15"/>
      <c r="H5" s="15"/>
      <c r="I5" s="15"/>
    </row>
    <row r="6" spans="1:9" ht="15" thickTop="1">
      <c r="A6" s="13"/>
      <c r="B6" s="13"/>
      <c r="C6" s="13"/>
      <c r="D6" s="16"/>
      <c r="E6" s="16"/>
      <c r="F6" s="2"/>
      <c r="G6" s="2"/>
      <c r="H6" s="2"/>
      <c r="I6" s="2"/>
    </row>
    <row r="7" spans="1:9">
      <c r="A7" s="17" t="s">
        <v>5</v>
      </c>
      <c r="B7" s="18"/>
      <c r="C7" s="18" t="s">
        <v>6</v>
      </c>
      <c r="D7" s="18"/>
      <c r="E7" s="18"/>
      <c r="F7" s="18"/>
      <c r="G7" s="19" t="s">
        <v>7</v>
      </c>
      <c r="H7" s="19" t="s">
        <v>8</v>
      </c>
      <c r="I7" s="20" t="s">
        <v>7</v>
      </c>
    </row>
    <row r="8" spans="1:9" ht="25.8">
      <c r="A8" s="21" t="str">
        <f>UPPER(IF([1]Rutero!D8="","",[1]Rutero!D8))</f>
        <v/>
      </c>
      <c r="B8" s="22"/>
      <c r="C8" s="23" t="str">
        <f>PROPER([1]Rutero!F8)</f>
        <v>Gdy-204</v>
      </c>
      <c r="D8" s="23"/>
      <c r="E8" s="23"/>
      <c r="F8" s="23"/>
      <c r="G8" s="24">
        <f>[1]Rutero!J8</f>
        <v>0</v>
      </c>
      <c r="H8" s="24" t="str">
        <f>PROPER([1]Rutero!K8)</f>
        <v/>
      </c>
      <c r="I8" s="25" t="str">
        <f>[1]Rutero!L8</f>
        <v>301-7121289</v>
      </c>
    </row>
    <row r="9" spans="1:9" ht="25.8">
      <c r="A9" s="26" t="s">
        <v>9</v>
      </c>
      <c r="B9" s="27"/>
      <c r="C9" s="28"/>
      <c r="D9" s="29"/>
      <c r="E9" s="29"/>
      <c r="F9" s="30" t="s">
        <v>10</v>
      </c>
      <c r="G9" s="31"/>
      <c r="H9" s="30" t="s">
        <v>11</v>
      </c>
      <c r="I9" s="32"/>
    </row>
    <row r="10" spans="1:9">
      <c r="A10" s="33" t="s">
        <v>12</v>
      </c>
      <c r="B10" s="34"/>
      <c r="C10" s="35"/>
      <c r="D10" s="36"/>
      <c r="E10" s="36"/>
      <c r="F10" s="37" t="s">
        <v>13</v>
      </c>
      <c r="G10" s="38"/>
      <c r="H10" s="39" t="s">
        <v>14</v>
      </c>
      <c r="I10" s="40"/>
    </row>
    <row r="11" spans="1:9">
      <c r="A11" s="41"/>
      <c r="B11" s="41"/>
      <c r="C11" s="13"/>
      <c r="D11" s="2"/>
      <c r="E11" s="2"/>
      <c r="F11" s="16"/>
      <c r="G11" s="42"/>
      <c r="H11" s="16"/>
      <c r="I11" s="13"/>
    </row>
    <row r="12" spans="1:9">
      <c r="A12" s="43" t="s">
        <v>15</v>
      </c>
      <c r="B12" s="43"/>
      <c r="C12" s="43"/>
      <c r="D12" s="43"/>
      <c r="E12" s="44"/>
      <c r="F12" s="45" t="s">
        <v>16</v>
      </c>
      <c r="G12" s="45"/>
      <c r="H12" s="46" t="s">
        <v>17</v>
      </c>
      <c r="I12" s="46"/>
    </row>
    <row r="13" spans="1:9" ht="15" thickBot="1">
      <c r="A13" s="13"/>
      <c r="B13" s="13"/>
      <c r="C13" s="13"/>
      <c r="D13" s="13"/>
      <c r="E13" s="13"/>
      <c r="F13" s="13"/>
      <c r="G13" s="13"/>
      <c r="H13" s="13"/>
      <c r="I13" s="2"/>
    </row>
    <row r="14" spans="1:9" ht="15.6" thickTop="1" thickBot="1">
      <c r="A14" s="47" t="s">
        <v>18</v>
      </c>
      <c r="B14" s="47" t="s">
        <v>1</v>
      </c>
      <c r="C14" s="47" t="s">
        <v>19</v>
      </c>
      <c r="D14" s="47" t="s">
        <v>20</v>
      </c>
      <c r="E14" s="47"/>
      <c r="F14" s="47" t="s">
        <v>21</v>
      </c>
      <c r="G14" s="47" t="s">
        <v>1</v>
      </c>
      <c r="H14" s="47" t="s">
        <v>22</v>
      </c>
      <c r="I14" s="47" t="s">
        <v>23</v>
      </c>
    </row>
    <row r="15" spans="1:9" ht="16.2" thickTop="1">
      <c r="A15" s="48" t="str">
        <f>IF([1]Rutero!D13="","",[1]Rutero!D13)</f>
        <v/>
      </c>
      <c r="B15" s="49" t="str">
        <f>IFERROR(IF(G15="Porcino-Mega",1,IF(G15="Bovino-Mega",2,"")),"")</f>
        <v/>
      </c>
      <c r="C15" s="50"/>
      <c r="D15" s="51" t="str">
        <f>IF([1]Rutero!G13="","",[1]Rutero!G13)</f>
        <v/>
      </c>
      <c r="E15" s="52"/>
      <c r="F15" s="50" t="str">
        <f>TRIM([1]Rutero!I13)</f>
        <v/>
      </c>
      <c r="G15" s="53" t="str">
        <f>TRIM([1]Rutero!J13)</f>
        <v/>
      </c>
      <c r="H15" s="54" t="str">
        <f>TRIM([1]Rutero!K13)</f>
        <v/>
      </c>
      <c r="I15" s="55" t="str">
        <f>[1]Rutero!L13</f>
        <v>-</v>
      </c>
    </row>
    <row r="16" spans="1:9" ht="15.6">
      <c r="A16" s="56" t="str">
        <f>IF([1]Rutero!D14="","",[1]Rutero!D14)</f>
        <v/>
      </c>
      <c r="B16" s="49" t="str">
        <f t="shared" ref="B16:B50" si="0">IFERROR(IF(G16="Porcino-Mega",1,IF(G16="Bovino-Mega",2,"")),"")</f>
        <v/>
      </c>
      <c r="C16" s="50"/>
      <c r="D16" s="51" t="str">
        <f>IF([1]Rutero!G14="","",[1]Rutero!G14)</f>
        <v/>
      </c>
      <c r="E16" s="57"/>
      <c r="F16" s="50" t="str">
        <f>PROPER(TRIM([1]Rutero!I14))</f>
        <v/>
      </c>
      <c r="G16" s="58" t="str">
        <f>TRIM([1]Rutero!J14)</f>
        <v/>
      </c>
      <c r="H16" s="59" t="str">
        <f>TRIM([1]Rutero!K14)</f>
        <v/>
      </c>
      <c r="I16" s="60" t="str">
        <f>[1]Rutero!L14</f>
        <v>-</v>
      </c>
    </row>
    <row r="17" spans="1:9" ht="15.6">
      <c r="A17" s="56" t="str">
        <f>IF([1]Rutero!D15="","",[1]Rutero!D15)</f>
        <v/>
      </c>
      <c r="B17" s="49" t="str">
        <f t="shared" si="0"/>
        <v/>
      </c>
      <c r="C17" s="50"/>
      <c r="D17" s="51" t="str">
        <f>IF([1]Rutero!G15="","",[1]Rutero!G15)</f>
        <v/>
      </c>
      <c r="E17" s="57"/>
      <c r="F17" s="50" t="str">
        <f>TRIM([1]Rutero!I15)</f>
        <v/>
      </c>
      <c r="G17" s="58" t="str">
        <f>TRIM([1]Rutero!J15)</f>
        <v/>
      </c>
      <c r="H17" s="59" t="str">
        <f>TRIM([1]Rutero!K15)</f>
        <v/>
      </c>
      <c r="I17" s="60" t="str">
        <f>[1]Rutero!L15</f>
        <v>-</v>
      </c>
    </row>
    <row r="18" spans="1:9" ht="15.6">
      <c r="A18" s="56" t="str">
        <f>IF([1]Rutero!D16="","",[1]Rutero!D16)</f>
        <v/>
      </c>
      <c r="B18" s="49" t="str">
        <f t="shared" si="0"/>
        <v/>
      </c>
      <c r="C18" s="50"/>
      <c r="D18" s="51" t="str">
        <f>IF([1]Rutero!G16="","",[1]Rutero!G16)</f>
        <v/>
      </c>
      <c r="E18" s="57"/>
      <c r="F18" s="50" t="str">
        <f>TRIM([1]Rutero!I16)</f>
        <v/>
      </c>
      <c r="G18" s="58" t="str">
        <f>TRIM([1]Rutero!J16)</f>
        <v/>
      </c>
      <c r="H18" s="59" t="str">
        <f>TRIM([1]Rutero!K16)</f>
        <v/>
      </c>
      <c r="I18" s="60" t="str">
        <f>[1]Rutero!L16</f>
        <v>-</v>
      </c>
    </row>
    <row r="19" spans="1:9" ht="15.6">
      <c r="A19" s="56" t="str">
        <f>IF([1]Rutero!D17="","",[1]Rutero!D17)</f>
        <v/>
      </c>
      <c r="B19" s="49" t="str">
        <f t="shared" si="0"/>
        <v/>
      </c>
      <c r="C19" s="50"/>
      <c r="D19" s="51" t="str">
        <f>IF([1]Rutero!G17="","",[1]Rutero!G17)</f>
        <v/>
      </c>
      <c r="E19" s="57"/>
      <c r="F19" s="50" t="str">
        <f>TRIM([1]Rutero!I17)</f>
        <v/>
      </c>
      <c r="G19" s="58" t="str">
        <f>TRIM([1]Rutero!J17)</f>
        <v/>
      </c>
      <c r="H19" s="59" t="str">
        <f>TRIM([1]Rutero!K17)</f>
        <v/>
      </c>
      <c r="I19" s="60" t="str">
        <f>[1]Rutero!L17</f>
        <v>-</v>
      </c>
    </row>
    <row r="20" spans="1:9" ht="15.6">
      <c r="A20" s="56" t="str">
        <f>IF([1]Rutero!D18="","",[1]Rutero!D18)</f>
        <v/>
      </c>
      <c r="B20" s="49" t="str">
        <f t="shared" si="0"/>
        <v/>
      </c>
      <c r="C20" s="50"/>
      <c r="D20" s="51" t="str">
        <f>IF([1]Rutero!G18="","",[1]Rutero!G18)</f>
        <v/>
      </c>
      <c r="E20" s="57"/>
      <c r="F20" s="50" t="str">
        <f>TRIM([1]Rutero!I18)</f>
        <v/>
      </c>
      <c r="G20" s="58" t="str">
        <f>TRIM([1]Rutero!J18)</f>
        <v/>
      </c>
      <c r="H20" s="59" t="str">
        <f>TRIM([1]Rutero!K18)</f>
        <v/>
      </c>
      <c r="I20" s="60" t="str">
        <f>[1]Rutero!L18</f>
        <v>-</v>
      </c>
    </row>
    <row r="21" spans="1:9" ht="15.6">
      <c r="A21" s="56" t="str">
        <f>IF([1]Rutero!D19="","",[1]Rutero!D19)</f>
        <v/>
      </c>
      <c r="B21" s="49" t="str">
        <f t="shared" si="0"/>
        <v/>
      </c>
      <c r="C21" s="50"/>
      <c r="D21" s="51" t="str">
        <f>IF([1]Rutero!G19="","",[1]Rutero!G19)</f>
        <v/>
      </c>
      <c r="E21" s="57"/>
      <c r="F21" s="50" t="str">
        <f>TRIM([1]Rutero!I19)</f>
        <v/>
      </c>
      <c r="G21" s="58" t="str">
        <f>TRIM([1]Rutero!J19)</f>
        <v/>
      </c>
      <c r="H21" s="59" t="str">
        <f>TRIM([1]Rutero!K19)</f>
        <v/>
      </c>
      <c r="I21" s="60" t="str">
        <f>[1]Rutero!L19</f>
        <v>-</v>
      </c>
    </row>
    <row r="22" spans="1:9" ht="15.6">
      <c r="A22" s="56" t="str">
        <f>IF([1]Rutero!D20="","",[1]Rutero!D20)</f>
        <v/>
      </c>
      <c r="B22" s="49" t="str">
        <f t="shared" si="0"/>
        <v/>
      </c>
      <c r="C22" s="50"/>
      <c r="D22" s="51" t="str">
        <f>IF([1]Rutero!G20="","",[1]Rutero!G20)</f>
        <v/>
      </c>
      <c r="E22" s="57"/>
      <c r="F22" s="50" t="str">
        <f>TRIM([1]Rutero!I20)</f>
        <v/>
      </c>
      <c r="G22" s="58" t="str">
        <f>TRIM([1]Rutero!J20)</f>
        <v/>
      </c>
      <c r="H22" s="59" t="str">
        <f>TRIM([1]Rutero!K20)</f>
        <v/>
      </c>
      <c r="I22" s="60" t="str">
        <f>[1]Rutero!L20</f>
        <v>-</v>
      </c>
    </row>
    <row r="23" spans="1:9" ht="15.6">
      <c r="A23" s="56" t="str">
        <f>IF([1]Rutero!D21="","",[1]Rutero!D21)</f>
        <v/>
      </c>
      <c r="B23" s="49" t="str">
        <f t="shared" si="0"/>
        <v/>
      </c>
      <c r="C23" s="50"/>
      <c r="D23" s="51" t="str">
        <f>IF([1]Rutero!G21="","",[1]Rutero!G21)</f>
        <v/>
      </c>
      <c r="E23" s="57"/>
      <c r="F23" s="50" t="str">
        <f>TRIM([1]Rutero!I21)</f>
        <v/>
      </c>
      <c r="G23" s="58" t="str">
        <f>TRIM([1]Rutero!J21)</f>
        <v/>
      </c>
      <c r="H23" s="59" t="str">
        <f>TRIM([1]Rutero!K21)</f>
        <v/>
      </c>
      <c r="I23" s="60" t="str">
        <f>[1]Rutero!L21</f>
        <v>-</v>
      </c>
    </row>
    <row r="24" spans="1:9" ht="15.6">
      <c r="A24" s="56" t="str">
        <f>IF([1]Rutero!D22="","",[1]Rutero!D22)</f>
        <v/>
      </c>
      <c r="B24" s="49" t="str">
        <f t="shared" si="0"/>
        <v/>
      </c>
      <c r="C24" s="50"/>
      <c r="D24" s="51" t="str">
        <f>IF([1]Rutero!G22="","",[1]Rutero!G22)</f>
        <v/>
      </c>
      <c r="E24" s="57"/>
      <c r="F24" s="50" t="str">
        <f>TRIM([1]Rutero!I22)</f>
        <v/>
      </c>
      <c r="G24" s="58" t="str">
        <f>TRIM([1]Rutero!J22)</f>
        <v/>
      </c>
      <c r="H24" s="59" t="str">
        <f>TRIM([1]Rutero!K22)</f>
        <v/>
      </c>
      <c r="I24" s="60" t="str">
        <f>[1]Rutero!L22</f>
        <v>-</v>
      </c>
    </row>
    <row r="25" spans="1:9" ht="15.6">
      <c r="A25" s="56" t="str">
        <f>IF([1]Rutero!D23="","",[1]Rutero!D23)</f>
        <v/>
      </c>
      <c r="B25" s="49" t="str">
        <f t="shared" si="0"/>
        <v/>
      </c>
      <c r="C25" s="50"/>
      <c r="D25" s="51" t="str">
        <f>IF([1]Rutero!G23="","",[1]Rutero!G23)</f>
        <v/>
      </c>
      <c r="E25" s="57"/>
      <c r="F25" s="50" t="str">
        <f>TRIM([1]Rutero!I23)</f>
        <v/>
      </c>
      <c r="G25" s="58" t="str">
        <f>TRIM([1]Rutero!J23)</f>
        <v/>
      </c>
      <c r="H25" s="59" t="str">
        <f>TRIM([1]Rutero!K23)</f>
        <v/>
      </c>
      <c r="I25" s="60" t="str">
        <f>[1]Rutero!L23</f>
        <v>-</v>
      </c>
    </row>
    <row r="26" spans="1:9" ht="15.6">
      <c r="A26" s="56" t="str">
        <f>IF([1]Rutero!D24="","",[1]Rutero!D24)</f>
        <v/>
      </c>
      <c r="B26" s="49" t="str">
        <f t="shared" si="0"/>
        <v/>
      </c>
      <c r="C26" s="50"/>
      <c r="D26" s="51" t="str">
        <f>IF([1]Rutero!G24="","",[1]Rutero!G24)</f>
        <v/>
      </c>
      <c r="E26" s="57"/>
      <c r="F26" s="50" t="str">
        <f>TRIM([1]Rutero!I24)</f>
        <v/>
      </c>
      <c r="G26" s="58" t="str">
        <f>TRIM([1]Rutero!J24)</f>
        <v/>
      </c>
      <c r="H26" s="59" t="str">
        <f>TRIM([1]Rutero!K24)</f>
        <v/>
      </c>
      <c r="I26" s="60" t="str">
        <f>[1]Rutero!L24</f>
        <v>-</v>
      </c>
    </row>
    <row r="27" spans="1:9" ht="15.6">
      <c r="A27" s="56" t="str">
        <f>IF([1]Rutero!D25="","",[1]Rutero!D25)</f>
        <v/>
      </c>
      <c r="B27" s="49" t="str">
        <f t="shared" si="0"/>
        <v/>
      </c>
      <c r="C27" s="50"/>
      <c r="D27" s="51" t="str">
        <f>IF([1]Rutero!G25="","",[1]Rutero!G25)</f>
        <v/>
      </c>
      <c r="E27" s="57"/>
      <c r="F27" s="50" t="str">
        <f>TRIM([1]Rutero!I25)</f>
        <v/>
      </c>
      <c r="G27" s="58" t="str">
        <f>TRIM([1]Rutero!J25)</f>
        <v/>
      </c>
      <c r="H27" s="59" t="str">
        <f>TRIM([1]Rutero!K25)</f>
        <v/>
      </c>
      <c r="I27" s="60" t="str">
        <f>[1]Rutero!L25</f>
        <v>-</v>
      </c>
    </row>
    <row r="28" spans="1:9" ht="15.6">
      <c r="A28" s="56" t="str">
        <f>IF([1]Rutero!D26="","",[1]Rutero!D26)</f>
        <v/>
      </c>
      <c r="B28" s="49" t="str">
        <f t="shared" si="0"/>
        <v/>
      </c>
      <c r="C28" s="50"/>
      <c r="D28" s="51" t="str">
        <f>IF([1]Rutero!G26="","",[1]Rutero!G26)</f>
        <v/>
      </c>
      <c r="E28" s="57"/>
      <c r="F28" s="50" t="str">
        <f>TRIM([1]Rutero!I26)</f>
        <v/>
      </c>
      <c r="G28" s="58" t="str">
        <f>TRIM([1]Rutero!J26)</f>
        <v/>
      </c>
      <c r="H28" s="59" t="str">
        <f>TRIM([1]Rutero!K26)</f>
        <v/>
      </c>
      <c r="I28" s="60" t="str">
        <f>[1]Rutero!L26</f>
        <v>-</v>
      </c>
    </row>
    <row r="29" spans="1:9" ht="15.6">
      <c r="A29" s="56" t="str">
        <f>IF([1]Rutero!D27="","",[1]Rutero!D27)</f>
        <v/>
      </c>
      <c r="B29" s="49" t="str">
        <f t="shared" si="0"/>
        <v/>
      </c>
      <c r="C29" s="50"/>
      <c r="D29" s="51" t="str">
        <f>IF([1]Rutero!G27="","",[1]Rutero!G27)</f>
        <v/>
      </c>
      <c r="E29" s="57"/>
      <c r="F29" s="50" t="str">
        <f>TRIM([1]Rutero!I27)</f>
        <v/>
      </c>
      <c r="G29" s="58" t="str">
        <f>TRIM([1]Rutero!J27)</f>
        <v/>
      </c>
      <c r="H29" s="59" t="str">
        <f>TRIM([1]Rutero!K27)</f>
        <v/>
      </c>
      <c r="I29" s="60" t="str">
        <f>[1]Rutero!L27</f>
        <v>-</v>
      </c>
    </row>
    <row r="30" spans="1:9" ht="15.6">
      <c r="A30" s="56" t="str">
        <f>IF([1]Rutero!D28="","",[1]Rutero!D28)</f>
        <v/>
      </c>
      <c r="B30" s="49" t="str">
        <f t="shared" si="0"/>
        <v/>
      </c>
      <c r="C30" s="50"/>
      <c r="D30" s="51" t="str">
        <f>IF([1]Rutero!G28="","",[1]Rutero!G28)</f>
        <v/>
      </c>
      <c r="E30" s="57"/>
      <c r="F30" s="50" t="str">
        <f>TRIM([1]Rutero!I28)</f>
        <v/>
      </c>
      <c r="G30" s="58" t="str">
        <f>TRIM([1]Rutero!J28)</f>
        <v/>
      </c>
      <c r="H30" s="59" t="str">
        <f>TRIM([1]Rutero!K28)</f>
        <v/>
      </c>
      <c r="I30" s="60" t="str">
        <f>[1]Rutero!L28</f>
        <v>-</v>
      </c>
    </row>
    <row r="31" spans="1:9" ht="15.6">
      <c r="A31" s="56" t="str">
        <f>IF([1]Rutero!D29="","",[1]Rutero!D29)</f>
        <v/>
      </c>
      <c r="B31" s="49" t="str">
        <f t="shared" si="0"/>
        <v/>
      </c>
      <c r="C31" s="50"/>
      <c r="D31" s="51" t="str">
        <f>IF([1]Rutero!G29="","",[1]Rutero!G29)</f>
        <v/>
      </c>
      <c r="E31" s="57"/>
      <c r="F31" s="50" t="str">
        <f>TRIM([1]Rutero!I29)</f>
        <v/>
      </c>
      <c r="G31" s="58" t="str">
        <f>TRIM([1]Rutero!J29)</f>
        <v/>
      </c>
      <c r="H31" s="59" t="str">
        <f>TRIM([1]Rutero!K29)</f>
        <v/>
      </c>
      <c r="I31" s="60" t="str">
        <f>[1]Rutero!L29</f>
        <v>-</v>
      </c>
    </row>
    <row r="32" spans="1:9" ht="15.6">
      <c r="A32" s="56" t="str">
        <f>IF([1]Rutero!D30="","",[1]Rutero!D30)</f>
        <v/>
      </c>
      <c r="B32" s="49" t="str">
        <f t="shared" si="0"/>
        <v/>
      </c>
      <c r="C32" s="50"/>
      <c r="D32" s="51" t="str">
        <f>IF([1]Rutero!G30="","",[1]Rutero!G30)</f>
        <v/>
      </c>
      <c r="E32" s="57"/>
      <c r="F32" s="50" t="str">
        <f>TRIM([1]Rutero!I30)</f>
        <v/>
      </c>
      <c r="G32" s="58" t="str">
        <f>TRIM([1]Rutero!J30)</f>
        <v/>
      </c>
      <c r="H32" s="59" t="str">
        <f>TRIM([1]Rutero!K30)</f>
        <v/>
      </c>
      <c r="I32" s="60" t="str">
        <f>[1]Rutero!L30</f>
        <v>-</v>
      </c>
    </row>
    <row r="33" spans="1:9" ht="15.6">
      <c r="A33" s="56" t="str">
        <f>IF([1]Rutero!D31="","",[1]Rutero!D31)</f>
        <v/>
      </c>
      <c r="B33" s="49" t="str">
        <f t="shared" si="0"/>
        <v/>
      </c>
      <c r="C33" s="50"/>
      <c r="D33" s="51" t="str">
        <f>IF([1]Rutero!G31="","",[1]Rutero!G31)</f>
        <v/>
      </c>
      <c r="E33" s="57"/>
      <c r="F33" s="50" t="str">
        <f>TRIM([1]Rutero!I31)</f>
        <v/>
      </c>
      <c r="G33" s="58" t="str">
        <f>TRIM([1]Rutero!J31)</f>
        <v/>
      </c>
      <c r="H33" s="59" t="str">
        <f>TRIM([1]Rutero!K31)</f>
        <v/>
      </c>
      <c r="I33" s="60" t="str">
        <f>[1]Rutero!L31</f>
        <v>-</v>
      </c>
    </row>
    <row r="34" spans="1:9" ht="15.6">
      <c r="A34" s="56" t="str">
        <f>IF([1]Rutero!D32="","",[1]Rutero!D32)</f>
        <v/>
      </c>
      <c r="B34" s="49" t="str">
        <f t="shared" si="0"/>
        <v/>
      </c>
      <c r="C34" s="50"/>
      <c r="D34" s="51" t="str">
        <f>IF([1]Rutero!G32="","",[1]Rutero!G32)</f>
        <v/>
      </c>
      <c r="E34" s="57"/>
      <c r="F34" s="50" t="str">
        <f>TRIM([1]Rutero!I32)</f>
        <v/>
      </c>
      <c r="G34" s="58" t="str">
        <f>TRIM([1]Rutero!J32)</f>
        <v/>
      </c>
      <c r="H34" s="59" t="str">
        <f>TRIM([1]Rutero!K32)</f>
        <v/>
      </c>
      <c r="I34" s="60" t="str">
        <f>[1]Rutero!L32</f>
        <v>-</v>
      </c>
    </row>
    <row r="35" spans="1:9" ht="15.6">
      <c r="A35" s="56" t="str">
        <f>IF([1]Rutero!D33="","",[1]Rutero!D33)</f>
        <v/>
      </c>
      <c r="B35" s="49" t="str">
        <f t="shared" si="0"/>
        <v/>
      </c>
      <c r="C35" s="50"/>
      <c r="D35" s="51" t="str">
        <f>IF([1]Rutero!G33="","",[1]Rutero!G33)</f>
        <v/>
      </c>
      <c r="E35" s="57"/>
      <c r="F35" s="50" t="str">
        <f>TRIM([1]Rutero!I33)</f>
        <v/>
      </c>
      <c r="G35" s="58" t="str">
        <f>TRIM([1]Rutero!J33)</f>
        <v/>
      </c>
      <c r="H35" s="59" t="str">
        <f>TRIM([1]Rutero!K33)</f>
        <v/>
      </c>
      <c r="I35" s="60" t="str">
        <f>[1]Rutero!L33</f>
        <v>-</v>
      </c>
    </row>
    <row r="36" spans="1:9" ht="15.6">
      <c r="A36" s="56" t="str">
        <f>IF([1]Rutero!D34="","",[1]Rutero!D34)</f>
        <v/>
      </c>
      <c r="B36" s="49" t="str">
        <f t="shared" si="0"/>
        <v/>
      </c>
      <c r="C36" s="50"/>
      <c r="D36" s="51" t="str">
        <f>IF([1]Rutero!G34="","",[1]Rutero!G34)</f>
        <v/>
      </c>
      <c r="E36" s="57"/>
      <c r="F36" s="50" t="str">
        <f>TRIM([1]Rutero!I34)</f>
        <v/>
      </c>
      <c r="G36" s="58" t="str">
        <f>TRIM([1]Rutero!J34)</f>
        <v/>
      </c>
      <c r="H36" s="59" t="str">
        <f>TRIM([1]Rutero!K34)</f>
        <v/>
      </c>
      <c r="I36" s="60" t="str">
        <f>[1]Rutero!L34</f>
        <v>-</v>
      </c>
    </row>
    <row r="37" spans="1:9" ht="15.6">
      <c r="A37" s="56" t="str">
        <f>IF([1]Rutero!D35="","",[1]Rutero!D35)</f>
        <v/>
      </c>
      <c r="B37" s="49" t="str">
        <f t="shared" si="0"/>
        <v/>
      </c>
      <c r="C37" s="50"/>
      <c r="D37" s="51" t="str">
        <f>IF([1]Rutero!G35="","",[1]Rutero!G35)</f>
        <v/>
      </c>
      <c r="E37" s="57"/>
      <c r="F37" s="50" t="str">
        <f>TRIM([1]Rutero!I35)</f>
        <v/>
      </c>
      <c r="G37" s="58" t="str">
        <f>TRIM([1]Rutero!J35)</f>
        <v/>
      </c>
      <c r="H37" s="59" t="str">
        <f>TRIM([1]Rutero!K35)</f>
        <v/>
      </c>
      <c r="I37" s="60" t="str">
        <f>[1]Rutero!L35</f>
        <v>-</v>
      </c>
    </row>
    <row r="38" spans="1:9" ht="15.6">
      <c r="A38" s="56" t="str">
        <f>IF([1]Rutero!D36="","",[1]Rutero!D36)</f>
        <v/>
      </c>
      <c r="B38" s="49" t="str">
        <f t="shared" si="0"/>
        <v/>
      </c>
      <c r="C38" s="50"/>
      <c r="D38" s="51" t="str">
        <f>IF([1]Rutero!G36="","",[1]Rutero!G36)</f>
        <v/>
      </c>
      <c r="E38" s="57"/>
      <c r="F38" s="50" t="str">
        <f>TRIM([1]Rutero!I36)</f>
        <v/>
      </c>
      <c r="G38" s="58" t="str">
        <f>TRIM([1]Rutero!J36)</f>
        <v/>
      </c>
      <c r="H38" s="59" t="str">
        <f>TRIM([1]Rutero!K36)</f>
        <v/>
      </c>
      <c r="I38" s="60" t="str">
        <f>[1]Rutero!L36</f>
        <v xml:space="preserve">                                                                                                                                                                 </v>
      </c>
    </row>
    <row r="39" spans="1:9" ht="15.6">
      <c r="A39" s="56" t="str">
        <f>IF([1]Rutero!D37="","",[1]Rutero!D37)</f>
        <v/>
      </c>
      <c r="B39" s="49" t="str">
        <f t="shared" si="0"/>
        <v/>
      </c>
      <c r="C39" s="50"/>
      <c r="D39" s="51" t="str">
        <f>IF([1]Rutero!G37="","",[1]Rutero!G37)</f>
        <v/>
      </c>
      <c r="E39" s="57"/>
      <c r="F39" s="50" t="str">
        <f>TRIM([1]Rutero!I37)</f>
        <v/>
      </c>
      <c r="G39" s="58" t="str">
        <f>TRIM([1]Rutero!J37)</f>
        <v/>
      </c>
      <c r="H39" s="59" t="str">
        <f>TRIM([1]Rutero!K37)</f>
        <v/>
      </c>
      <c r="I39" s="60" t="str">
        <f>[1]Rutero!L37</f>
        <v>-</v>
      </c>
    </row>
    <row r="40" spans="1:9" ht="15.6">
      <c r="A40" s="56" t="str">
        <f>IF([1]Rutero!D38="","",[1]Rutero!D38)</f>
        <v/>
      </c>
      <c r="B40" s="49" t="str">
        <f t="shared" si="0"/>
        <v/>
      </c>
      <c r="C40" s="50"/>
      <c r="D40" s="51" t="str">
        <f>IF([1]Rutero!G38="","",[1]Rutero!G38)</f>
        <v/>
      </c>
      <c r="E40" s="57"/>
      <c r="F40" s="50" t="str">
        <f>TRIM([1]Rutero!I38)</f>
        <v/>
      </c>
      <c r="G40" s="58" t="str">
        <f>TRIM([1]Rutero!J38)</f>
        <v/>
      </c>
      <c r="H40" s="59" t="str">
        <f>TRIM([1]Rutero!K38)</f>
        <v/>
      </c>
      <c r="I40" s="60" t="str">
        <f>[1]Rutero!L38</f>
        <v>-</v>
      </c>
    </row>
    <row r="41" spans="1:9" ht="15.6">
      <c r="A41" s="56" t="str">
        <f>IF([1]Rutero!D39="","",[1]Rutero!D39)</f>
        <v/>
      </c>
      <c r="B41" s="49" t="str">
        <f t="shared" si="0"/>
        <v/>
      </c>
      <c r="C41" s="50"/>
      <c r="D41" s="51" t="str">
        <f>IF([1]Rutero!G39="","",[1]Rutero!G39)</f>
        <v/>
      </c>
      <c r="E41" s="57"/>
      <c r="F41" s="50" t="str">
        <f>TRIM([1]Rutero!I39)</f>
        <v/>
      </c>
      <c r="G41" s="58" t="str">
        <f>TRIM([1]Rutero!J39)</f>
        <v/>
      </c>
      <c r="H41" s="59" t="str">
        <f>TRIM([1]Rutero!K39)</f>
        <v/>
      </c>
      <c r="I41" s="60" t="str">
        <f>[1]Rutero!L39</f>
        <v>-</v>
      </c>
    </row>
    <row r="42" spans="1:9" ht="15.6">
      <c r="A42" s="56" t="str">
        <f>IF([1]Rutero!D40="","",[1]Rutero!D40)</f>
        <v/>
      </c>
      <c r="B42" s="49" t="str">
        <f t="shared" si="0"/>
        <v/>
      </c>
      <c r="C42" s="50"/>
      <c r="D42" s="51" t="str">
        <f>IF([1]Rutero!G40="","",[1]Rutero!G40)</f>
        <v/>
      </c>
      <c r="E42" s="57"/>
      <c r="F42" s="50" t="str">
        <f>TRIM([1]Rutero!I40)</f>
        <v/>
      </c>
      <c r="G42" s="58" t="str">
        <f>TRIM([1]Rutero!J40)</f>
        <v/>
      </c>
      <c r="H42" s="59" t="str">
        <f>TRIM([1]Rutero!K40)</f>
        <v/>
      </c>
      <c r="I42" s="60" t="str">
        <f>[1]Rutero!L40</f>
        <v>-</v>
      </c>
    </row>
    <row r="43" spans="1:9" ht="15.6">
      <c r="A43" s="56" t="str">
        <f>IF([1]Rutero!D41="","",[1]Rutero!D41)</f>
        <v/>
      </c>
      <c r="B43" s="49" t="str">
        <f t="shared" si="0"/>
        <v/>
      </c>
      <c r="C43" s="50"/>
      <c r="D43" s="51" t="str">
        <f>IF([1]Rutero!G41="","",[1]Rutero!G41)</f>
        <v/>
      </c>
      <c r="E43" s="57"/>
      <c r="F43" s="50" t="str">
        <f>TRIM([1]Rutero!I41)</f>
        <v/>
      </c>
      <c r="G43" s="58" t="str">
        <f>TRIM([1]Rutero!J41)</f>
        <v/>
      </c>
      <c r="H43" s="59" t="str">
        <f>TRIM([1]Rutero!K41)</f>
        <v/>
      </c>
      <c r="I43" s="60" t="str">
        <f>[1]Rutero!L41</f>
        <v>-</v>
      </c>
    </row>
    <row r="44" spans="1:9" ht="15.6">
      <c r="A44" s="56" t="str">
        <f>IF([1]Rutero!D42="","",[1]Rutero!D42)</f>
        <v/>
      </c>
      <c r="B44" s="49" t="str">
        <f t="shared" si="0"/>
        <v/>
      </c>
      <c r="C44" s="50"/>
      <c r="D44" s="51" t="str">
        <f>IF([1]Rutero!G42="","",[1]Rutero!G42)</f>
        <v/>
      </c>
      <c r="E44" s="57"/>
      <c r="F44" s="50" t="str">
        <f>TRIM([1]Rutero!I42)</f>
        <v/>
      </c>
      <c r="G44" s="58" t="str">
        <f>TRIM([1]Rutero!J42)</f>
        <v/>
      </c>
      <c r="H44" s="59" t="str">
        <f>TRIM([1]Rutero!K42)</f>
        <v/>
      </c>
      <c r="I44" s="60" t="str">
        <f>[1]Rutero!L42</f>
        <v>-</v>
      </c>
    </row>
    <row r="45" spans="1:9" ht="15.6">
      <c r="A45" s="56" t="str">
        <f>IF([1]Rutero!D43="","",[1]Rutero!D43)</f>
        <v/>
      </c>
      <c r="B45" s="49" t="str">
        <f t="shared" si="0"/>
        <v/>
      </c>
      <c r="C45" s="50"/>
      <c r="D45" s="51" t="str">
        <f>IF([1]Rutero!G43="","",[1]Rutero!G43)</f>
        <v/>
      </c>
      <c r="E45" s="57"/>
      <c r="F45" s="50" t="str">
        <f>TRIM([1]Rutero!I43)</f>
        <v/>
      </c>
      <c r="G45" s="58" t="str">
        <f>TRIM([1]Rutero!J43)</f>
        <v/>
      </c>
      <c r="H45" s="59" t="str">
        <f>TRIM([1]Rutero!K43)</f>
        <v/>
      </c>
      <c r="I45" s="60" t="str">
        <f>[1]Rutero!L43</f>
        <v>-</v>
      </c>
    </row>
    <row r="46" spans="1:9" ht="15.6">
      <c r="A46" s="56" t="str">
        <f>IF([1]Rutero!D44="","",[1]Rutero!D44)</f>
        <v/>
      </c>
      <c r="B46" s="49" t="str">
        <f t="shared" si="0"/>
        <v/>
      </c>
      <c r="C46" s="50"/>
      <c r="D46" s="51" t="str">
        <f>IF([1]Rutero!G44="","",[1]Rutero!G44)</f>
        <v/>
      </c>
      <c r="E46" s="57"/>
      <c r="F46" s="50" t="str">
        <f>TRIM([1]Rutero!I44)</f>
        <v/>
      </c>
      <c r="G46" s="58" t="str">
        <f>TRIM([1]Rutero!J44)</f>
        <v/>
      </c>
      <c r="H46" s="59" t="str">
        <f>TRIM([1]Rutero!K44)</f>
        <v/>
      </c>
      <c r="I46" s="60" t="str">
        <f>[1]Rutero!L44</f>
        <v>-</v>
      </c>
    </row>
    <row r="47" spans="1:9" ht="15.6">
      <c r="A47" s="56" t="str">
        <f>IF([1]Rutero!D45="","",[1]Rutero!D45)</f>
        <v/>
      </c>
      <c r="B47" s="49" t="str">
        <f t="shared" si="0"/>
        <v/>
      </c>
      <c r="C47" s="50"/>
      <c r="D47" s="51" t="str">
        <f>IF([1]Rutero!G45="","",[1]Rutero!G45)</f>
        <v/>
      </c>
      <c r="E47" s="57"/>
      <c r="F47" s="50" t="str">
        <f>TRIM([1]Rutero!I45)</f>
        <v/>
      </c>
      <c r="G47" s="58" t="str">
        <f>TRIM([1]Rutero!J45)</f>
        <v/>
      </c>
      <c r="H47" s="59" t="str">
        <f>TRIM([1]Rutero!K45)</f>
        <v/>
      </c>
      <c r="I47" s="60" t="str">
        <f>[1]Rutero!L45</f>
        <v>-</v>
      </c>
    </row>
    <row r="48" spans="1:9" ht="15.6">
      <c r="A48" s="56" t="str">
        <f>IF([1]Rutero!D46="","",[1]Rutero!D46)</f>
        <v/>
      </c>
      <c r="B48" s="49" t="str">
        <f t="shared" si="0"/>
        <v/>
      </c>
      <c r="C48" s="50"/>
      <c r="D48" s="51" t="str">
        <f>IF([1]Rutero!G46="","",[1]Rutero!G46)</f>
        <v/>
      </c>
      <c r="E48" s="57"/>
      <c r="F48" s="50" t="str">
        <f>TRIM([1]Rutero!I46)</f>
        <v/>
      </c>
      <c r="G48" s="58" t="str">
        <f>TRIM([1]Rutero!J46)</f>
        <v/>
      </c>
      <c r="H48" s="59" t="str">
        <f>TRIM([1]Rutero!K46)</f>
        <v/>
      </c>
      <c r="I48" s="60" t="str">
        <f>[1]Rutero!L46</f>
        <v>-</v>
      </c>
    </row>
    <row r="49" spans="1:9" ht="15.6">
      <c r="A49" s="56" t="str">
        <f>IF([1]Rutero!D47="","",[1]Rutero!D47)</f>
        <v/>
      </c>
      <c r="B49" s="49" t="str">
        <f t="shared" si="0"/>
        <v/>
      </c>
      <c r="C49" s="50"/>
      <c r="D49" s="51" t="str">
        <f>IF([1]Rutero!G47="","",[1]Rutero!G47)</f>
        <v/>
      </c>
      <c r="E49" s="57"/>
      <c r="F49" s="50" t="str">
        <f>TRIM([1]Rutero!I47)</f>
        <v/>
      </c>
      <c r="G49" s="58" t="str">
        <f>TRIM([1]Rutero!J47)</f>
        <v/>
      </c>
      <c r="H49" s="59" t="str">
        <f>TRIM([1]Rutero!K47)</f>
        <v/>
      </c>
      <c r="I49" s="60" t="str">
        <f>[1]Rutero!L47</f>
        <v>-</v>
      </c>
    </row>
    <row r="50" spans="1:9" ht="15.6">
      <c r="A50" s="56" t="str">
        <f>IF([1]Rutero!D48="","",[1]Rutero!D48)</f>
        <v/>
      </c>
      <c r="B50" s="49" t="str">
        <f t="shared" si="0"/>
        <v/>
      </c>
      <c r="C50" s="50"/>
      <c r="D50" s="51" t="str">
        <f>IF([1]Rutero!G48="","",[1]Rutero!G48)</f>
        <v/>
      </c>
      <c r="E50" s="57"/>
      <c r="F50" s="50" t="str">
        <f>TRIM([1]Rutero!I48)</f>
        <v/>
      </c>
      <c r="G50" s="58" t="str">
        <f>TRIM([1]Rutero!J48)</f>
        <v/>
      </c>
      <c r="H50" s="59" t="str">
        <f>TRIM([1]Rutero!K48)</f>
        <v/>
      </c>
      <c r="I50" s="60" t="str">
        <f>[1]Rutero!L48</f>
        <v>-</v>
      </c>
    </row>
    <row r="51" spans="1:9" ht="16.2" thickBot="1">
      <c r="A51" s="50"/>
      <c r="B51" s="50"/>
      <c r="C51" s="50"/>
      <c r="D51" s="50"/>
      <c r="E51" s="50"/>
      <c r="F51" s="50"/>
      <c r="G51" s="50"/>
      <c r="H51" s="50"/>
      <c r="I51" s="50"/>
    </row>
    <row r="52" spans="1:9" ht="22.2" thickTop="1" thickBot="1">
      <c r="A52" s="61" t="s">
        <v>24</v>
      </c>
      <c r="B52" s="61"/>
      <c r="C52" s="62"/>
      <c r="D52" s="63" t="str">
        <f>[1]Rutero!F50</f>
        <v>TOTAL PEDIDOS:</v>
      </c>
      <c r="E52" s="57"/>
      <c r="F52" s="50"/>
      <c r="G52" s="58"/>
      <c r="H52" s="64" t="s">
        <v>25</v>
      </c>
      <c r="I52" s="65">
        <f>SUM(I15:I50)</f>
        <v>0</v>
      </c>
    </row>
    <row r="53" spans="1:9" ht="16.2" thickTop="1">
      <c r="A53" s="56"/>
      <c r="B53" s="56"/>
      <c r="C53" s="50"/>
      <c r="D53" s="51"/>
      <c r="E53" s="57"/>
      <c r="F53" s="50"/>
      <c r="G53" s="58"/>
      <c r="H53" s="59"/>
      <c r="I53" s="60"/>
    </row>
    <row r="54" spans="1:9">
      <c r="A54" s="66" t="s">
        <v>26</v>
      </c>
      <c r="B54" s="67"/>
      <c r="C54" s="67"/>
      <c r="D54" s="67"/>
      <c r="E54" s="67"/>
      <c r="F54" s="67"/>
      <c r="G54" s="67"/>
      <c r="H54" s="67"/>
      <c r="I54" s="68"/>
    </row>
    <row r="55" spans="1:9">
      <c r="A55" s="66" t="s">
        <v>27</v>
      </c>
      <c r="B55" s="67"/>
      <c r="C55" s="67"/>
      <c r="D55" s="67"/>
      <c r="E55" s="67"/>
      <c r="F55" s="68"/>
      <c r="G55" s="69" t="s">
        <v>28</v>
      </c>
      <c r="H55" s="70"/>
      <c r="I55" s="71"/>
    </row>
    <row r="56" spans="1:9">
      <c r="A56" s="72" t="s">
        <v>29</v>
      </c>
      <c r="B56" s="73"/>
      <c r="C56" s="73"/>
      <c r="D56" s="73"/>
      <c r="E56" s="73"/>
      <c r="F56" s="73"/>
      <c r="G56" s="74" t="s">
        <v>30</v>
      </c>
      <c r="H56" s="75"/>
      <c r="I56" s="75"/>
    </row>
    <row r="57" spans="1:9">
      <c r="A57" s="76" t="s">
        <v>31</v>
      </c>
      <c r="B57" s="76"/>
      <c r="C57" s="76"/>
      <c r="D57" s="76"/>
      <c r="E57" s="76"/>
      <c r="F57" s="76"/>
      <c r="G57" s="77" t="s">
        <v>32</v>
      </c>
      <c r="H57" s="77"/>
      <c r="I57" s="77"/>
    </row>
    <row r="58" spans="1:9">
      <c r="A58" s="72" t="s">
        <v>33</v>
      </c>
      <c r="B58" s="73"/>
      <c r="C58" s="73"/>
      <c r="D58" s="73"/>
      <c r="E58" s="73"/>
      <c r="F58" s="73"/>
      <c r="G58" s="74" t="s">
        <v>34</v>
      </c>
      <c r="H58" s="75"/>
      <c r="I58" s="75"/>
    </row>
    <row r="59" spans="1:9" ht="15.6">
      <c r="A59" s="78"/>
      <c r="B59" s="78"/>
      <c r="C59" s="78"/>
      <c r="D59" s="78"/>
      <c r="E59" s="78"/>
      <c r="F59" s="78"/>
      <c r="G59" s="78"/>
      <c r="H59" s="78"/>
      <c r="I59" s="78"/>
    </row>
    <row r="60" spans="1:9">
      <c r="A60" s="76" t="s">
        <v>35</v>
      </c>
      <c r="B60" s="76"/>
      <c r="C60" s="76"/>
      <c r="D60" s="76"/>
      <c r="E60" s="76"/>
      <c r="F60" s="76"/>
      <c r="G60" s="66" t="s">
        <v>36</v>
      </c>
      <c r="H60" s="67"/>
      <c r="I60" s="68"/>
    </row>
    <row r="61" spans="1:9">
      <c r="A61" s="76" t="s">
        <v>37</v>
      </c>
      <c r="B61" s="76"/>
      <c r="C61" s="76"/>
      <c r="D61" s="76"/>
      <c r="E61" s="76"/>
      <c r="F61" s="79" t="s">
        <v>38</v>
      </c>
      <c r="G61" s="80" t="s">
        <v>39</v>
      </c>
      <c r="H61" s="67"/>
      <c r="I61" s="68"/>
    </row>
    <row r="62" spans="1:9" ht="15.6">
      <c r="A62" s="81" t="s">
        <v>40</v>
      </c>
      <c r="B62" s="81"/>
      <c r="C62" s="82"/>
      <c r="D62" s="81" t="s">
        <v>41</v>
      </c>
      <c r="E62" s="81"/>
      <c r="F62" s="83" t="s">
        <v>42</v>
      </c>
      <c r="G62" s="84"/>
      <c r="H62" s="85"/>
      <c r="I62" s="86"/>
    </row>
    <row r="63" spans="1:9" ht="15.6">
      <c r="A63" s="81" t="s">
        <v>40</v>
      </c>
      <c r="B63" s="81"/>
      <c r="C63" s="82"/>
      <c r="D63" s="81" t="s">
        <v>43</v>
      </c>
      <c r="E63" s="81"/>
      <c r="F63" s="83" t="s">
        <v>44</v>
      </c>
      <c r="G63" s="84"/>
      <c r="H63" s="85"/>
      <c r="I63" s="86"/>
    </row>
    <row r="64" spans="1:9" ht="15.6">
      <c r="A64" s="81" t="s">
        <v>40</v>
      </c>
      <c r="B64" s="81"/>
      <c r="C64" s="82"/>
      <c r="D64" s="81" t="s">
        <v>45</v>
      </c>
      <c r="E64" s="81"/>
      <c r="F64" s="83" t="s">
        <v>46</v>
      </c>
      <c r="G64" s="84"/>
      <c r="H64" s="85"/>
      <c r="I64" s="86"/>
    </row>
    <row r="65" spans="1:9" ht="15.6">
      <c r="A65" s="81" t="s">
        <v>40</v>
      </c>
      <c r="B65" s="81"/>
      <c r="C65" s="82"/>
      <c r="D65" s="81" t="s">
        <v>47</v>
      </c>
      <c r="E65" s="81"/>
      <c r="F65" s="83" t="s">
        <v>48</v>
      </c>
      <c r="G65" s="84"/>
      <c r="H65" s="85"/>
      <c r="I65" s="86"/>
    </row>
    <row r="66" spans="1:9" ht="15.6">
      <c r="A66" s="81" t="s">
        <v>40</v>
      </c>
      <c r="B66" s="81"/>
      <c r="C66" s="82"/>
      <c r="D66" s="81" t="s">
        <v>47</v>
      </c>
      <c r="E66" s="81"/>
      <c r="F66" s="83" t="s">
        <v>49</v>
      </c>
      <c r="G66" s="84"/>
      <c r="H66" s="85"/>
      <c r="I66" s="86"/>
    </row>
    <row r="67" spans="1:9" ht="15.6">
      <c r="A67" s="87"/>
      <c r="B67" s="87"/>
      <c r="C67" s="87"/>
      <c r="D67" s="87"/>
      <c r="E67" s="87"/>
      <c r="F67" s="87"/>
      <c r="G67" s="87"/>
      <c r="H67" s="87"/>
      <c r="I67" s="87"/>
    </row>
    <row r="68" spans="1:9">
      <c r="A68" s="88" t="s">
        <v>50</v>
      </c>
      <c r="B68" s="88"/>
      <c r="C68" s="88"/>
      <c r="D68" s="88"/>
      <c r="E68" s="88"/>
      <c r="F68" s="89"/>
      <c r="G68" s="90" t="s">
        <v>51</v>
      </c>
      <c r="H68" s="91"/>
      <c r="I68" s="91"/>
    </row>
    <row r="69" spans="1:9" ht="15.6">
      <c r="A69" s="92" t="s">
        <v>52</v>
      </c>
      <c r="B69" s="93"/>
      <c r="C69" s="93"/>
      <c r="D69" s="93"/>
      <c r="E69" s="93"/>
      <c r="F69" s="94" t="s">
        <v>53</v>
      </c>
      <c r="G69" s="95"/>
      <c r="H69" s="96"/>
      <c r="I69" s="96"/>
    </row>
    <row r="70" spans="1:9" ht="15.6">
      <c r="A70" s="92" t="s">
        <v>54</v>
      </c>
      <c r="B70" s="93"/>
      <c r="C70" s="93"/>
      <c r="D70" s="93"/>
      <c r="E70" s="93"/>
      <c r="F70" s="94" t="s">
        <v>55</v>
      </c>
      <c r="G70" s="97"/>
      <c r="H70" s="98"/>
      <c r="I70" s="98"/>
    </row>
    <row r="71" spans="1:9" ht="15.6">
      <c r="A71" s="92" t="s">
        <v>56</v>
      </c>
      <c r="B71" s="93"/>
      <c r="C71" s="93"/>
      <c r="D71" s="93"/>
      <c r="E71" s="93"/>
      <c r="F71" s="94" t="s">
        <v>57</v>
      </c>
      <c r="G71" s="99"/>
      <c r="H71" s="100"/>
      <c r="I71" s="100"/>
    </row>
    <row r="72" spans="1:9" ht="15.6">
      <c r="A72" s="92" t="s">
        <v>58</v>
      </c>
      <c r="B72" s="93"/>
      <c r="C72" s="93"/>
      <c r="D72" s="93"/>
      <c r="E72" s="93"/>
      <c r="F72" s="94" t="s">
        <v>59</v>
      </c>
      <c r="G72" s="101" t="s">
        <v>60</v>
      </c>
      <c r="H72" s="102"/>
      <c r="I72" s="102"/>
    </row>
    <row r="73" spans="1:9" ht="15.6">
      <c r="A73" s="103" t="s">
        <v>61</v>
      </c>
      <c r="B73" s="104"/>
      <c r="C73" s="104"/>
      <c r="D73" s="104"/>
      <c r="E73" s="104"/>
      <c r="F73" s="105" t="s">
        <v>62</v>
      </c>
      <c r="G73" s="101"/>
      <c r="H73" s="102"/>
      <c r="I73" s="102"/>
    </row>
    <row r="74" spans="1:9" ht="15.6">
      <c r="A74" s="106"/>
      <c r="B74" s="106"/>
      <c r="C74" s="106"/>
      <c r="D74" s="106"/>
      <c r="E74" s="106"/>
      <c r="F74" s="106"/>
      <c r="G74" s="106"/>
      <c r="H74" s="106"/>
      <c r="I74" s="106"/>
    </row>
    <row r="75" spans="1:9">
      <c r="A75" s="107" t="s">
        <v>63</v>
      </c>
      <c r="B75" s="108"/>
      <c r="C75" s="108"/>
      <c r="D75" s="108"/>
      <c r="E75" s="108"/>
      <c r="F75" s="108"/>
      <c r="G75" s="108"/>
      <c r="H75" s="108"/>
      <c r="I75" s="108"/>
    </row>
    <row r="76" spans="1:9">
      <c r="A76" s="13"/>
      <c r="B76" s="13"/>
      <c r="C76" s="13"/>
      <c r="D76" s="16"/>
      <c r="E76" s="16"/>
      <c r="F76" s="2"/>
      <c r="G76" s="2"/>
      <c r="H76" s="2"/>
      <c r="I76" s="2"/>
    </row>
    <row r="77" spans="1:9">
      <c r="A77" s="13"/>
      <c r="B77" s="13"/>
      <c r="C77" s="13"/>
      <c r="D77" s="16"/>
      <c r="E77" s="16"/>
      <c r="F77" s="2"/>
      <c r="G77" s="2"/>
      <c r="H77" s="2"/>
      <c r="I77" s="2"/>
    </row>
  </sheetData>
  <mergeCells count="57">
    <mergeCell ref="A72:E72"/>
    <mergeCell ref="G72:I73"/>
    <mergeCell ref="A73:E73"/>
    <mergeCell ref="A74:I74"/>
    <mergeCell ref="A75:I75"/>
    <mergeCell ref="A67:I67"/>
    <mergeCell ref="A68:F68"/>
    <mergeCell ref="G68:I68"/>
    <mergeCell ref="A69:E69"/>
    <mergeCell ref="G69:I71"/>
    <mergeCell ref="A70:E70"/>
    <mergeCell ref="A71:E71"/>
    <mergeCell ref="A65:B65"/>
    <mergeCell ref="D65:E65"/>
    <mergeCell ref="G65:I65"/>
    <mergeCell ref="A66:B66"/>
    <mergeCell ref="D66:E66"/>
    <mergeCell ref="G66:I66"/>
    <mergeCell ref="A63:B63"/>
    <mergeCell ref="D63:E63"/>
    <mergeCell ref="G63:I63"/>
    <mergeCell ref="A64:B64"/>
    <mergeCell ref="D64:E64"/>
    <mergeCell ref="G64:I64"/>
    <mergeCell ref="A59:I59"/>
    <mergeCell ref="A60:F60"/>
    <mergeCell ref="G60:I60"/>
    <mergeCell ref="A61:E61"/>
    <mergeCell ref="G61:I61"/>
    <mergeCell ref="A62:B62"/>
    <mergeCell ref="D62:E62"/>
    <mergeCell ref="G62:I62"/>
    <mergeCell ref="A56:F56"/>
    <mergeCell ref="G56:I56"/>
    <mergeCell ref="A57:F57"/>
    <mergeCell ref="G57:I57"/>
    <mergeCell ref="A58:F58"/>
    <mergeCell ref="G58:I58"/>
    <mergeCell ref="A12:D12"/>
    <mergeCell ref="F12:G12"/>
    <mergeCell ref="H12:I12"/>
    <mergeCell ref="A52:B52"/>
    <mergeCell ref="A54:I54"/>
    <mergeCell ref="A55:F55"/>
    <mergeCell ref="G55:I55"/>
    <mergeCell ref="A8:B8"/>
    <mergeCell ref="C8:F8"/>
    <mergeCell ref="A9:B9"/>
    <mergeCell ref="D9:E9"/>
    <mergeCell ref="A10:B10"/>
    <mergeCell ref="D10:E10"/>
    <mergeCell ref="A1:I1"/>
    <mergeCell ref="A2:I2"/>
    <mergeCell ref="A4:D4"/>
    <mergeCell ref="E4:F4"/>
    <mergeCell ref="A7:B7"/>
    <mergeCell ref="C7:F7"/>
  </mergeCells>
  <conditionalFormatting sqref="F15:F50">
    <cfRule type="cellIs" dxfId="2" priority="3" operator="equal">
      <formula>"Destino ó Factura NO Existen en la Base de Datos"</formula>
    </cfRule>
  </conditionalFormatting>
  <conditionalFormatting sqref="A15:A50">
    <cfRule type="expression" dxfId="1" priority="1">
      <formula>B15=1</formula>
    </cfRule>
    <cfRule type="expression" dxfId="0" priority="2">
      <formula>B15=2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SYSTEMAS1000</dc:creator>
  <cp:lastModifiedBy>SYSTEMAS1000</cp:lastModifiedBy>
  <dcterms:created xsi:type="dcterms:W3CDTF">2026-06-03T07:38:36Z</dcterms:created>
  <dcterms:modified xsi:type="dcterms:W3CDTF">2026-06-03T07:39:25Z</dcterms:modified>
</cp:coreProperties>
</file>